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Jose\Publicaciones\2025 IEEE Latin America Transactions Virtual Reality\Lat Am Trans VR Revision 2\Datos y codigo\"/>
    </mc:Choice>
  </mc:AlternateContent>
  <xr:revisionPtr revIDLastSave="0" documentId="13_ncr:1_{561C18EB-80BA-4CEE-9C41-8B7C1194DCEF}" xr6:coauthVersionLast="47" xr6:coauthVersionMax="47" xr10:uidLastSave="{00000000-0000-0000-0000-000000000000}"/>
  <bookViews>
    <workbookView xWindow="-108" yWindow="-108" windowWidth="23256" windowHeight="1389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H3" i="1"/>
  <c r="G3" i="1"/>
  <c r="F3" i="1"/>
  <c r="E3" i="1"/>
  <c r="D3" i="1"/>
  <c r="C3" i="1"/>
  <c r="L14" i="1"/>
  <c r="O2" i="1"/>
  <c r="O5" i="1"/>
  <c r="N5" i="1"/>
  <c r="M5" i="1"/>
  <c r="L5" i="1"/>
  <c r="K5" i="1"/>
  <c r="J5" i="1"/>
  <c r="I5" i="1"/>
  <c r="H5" i="1"/>
  <c r="G5" i="1"/>
  <c r="F5" i="1"/>
  <c r="E5" i="1"/>
  <c r="O4" i="1"/>
  <c r="N4" i="1"/>
  <c r="M4" i="1"/>
  <c r="L4" i="1"/>
  <c r="K4" i="1"/>
  <c r="J4" i="1"/>
  <c r="I4" i="1"/>
  <c r="H4" i="1"/>
  <c r="G4" i="1"/>
  <c r="F4" i="1"/>
  <c r="E4" i="1"/>
  <c r="I2" i="1"/>
  <c r="H2" i="1"/>
  <c r="G2" i="1"/>
  <c r="F2" i="1"/>
  <c r="E2" i="1"/>
  <c r="D5" i="1"/>
  <c r="D4" i="1"/>
  <c r="D2" i="1"/>
  <c r="C5" i="1"/>
  <c r="C4" i="1"/>
  <c r="C2" i="1"/>
</calcChain>
</file>

<file path=xl/sharedStrings.xml><?xml version="1.0" encoding="utf-8"?>
<sst xmlns="http://schemas.openxmlformats.org/spreadsheetml/2006/main" count="51" uniqueCount="39">
  <si>
    <t>Marca temporal</t>
  </si>
  <si>
    <t>Considerando globalmente las clases en las que participaste de Contabilidad en Sistemas Integrados de Gestión, ¿cuál es tu grado de satisfacción con la modalidad de cursado que te fue asignada para el proyecto de investigación?</t>
  </si>
  <si>
    <r>
      <t xml:space="preserve">La modalidad de cursado para las clases de Contabilidad en Sistemas Integrados de Gestión que me fue asignada </t>
    </r>
    <r>
      <rPr>
        <b/>
        <sz val="10"/>
        <color theme="1"/>
        <rFont val="Arial"/>
        <family val="2"/>
      </rPr>
      <t>contribuyó positivamente a mi proceso de aprendizaje.</t>
    </r>
  </si>
  <si>
    <r>
      <t xml:space="preserve">La modalidad de cursado para las clases de Contabilidad en Sistemas Integrados de Gestión que me fue asignada </t>
    </r>
    <r>
      <rPr>
        <b/>
        <sz val="10"/>
        <color theme="1"/>
        <rFont val="Arial"/>
        <family val="2"/>
      </rPr>
      <t>me mantuvo motivado para participar en las clases.</t>
    </r>
  </si>
  <si>
    <r>
      <t xml:space="preserve">La modalidad de cursado para las clases de Contabilidad en Sistemas Integrados de Gestión que me fue asignada </t>
    </r>
    <r>
      <rPr>
        <b/>
        <sz val="10"/>
        <color theme="1"/>
        <rFont val="Arial"/>
        <family val="2"/>
      </rPr>
      <t>contribuyó a que participara activamente durante las clases.</t>
    </r>
  </si>
  <si>
    <r>
      <t xml:space="preserve">La modalidad de cursado para las clases de Contabilidad en Sistemas Integrados de Gestión que me fue asignada </t>
    </r>
    <r>
      <rPr>
        <b/>
        <sz val="10"/>
        <color theme="1"/>
        <rFont val="Arial"/>
        <family val="2"/>
      </rPr>
      <t>facilitó el intercambio con mis compañeros de clase.</t>
    </r>
  </si>
  <si>
    <r>
      <t xml:space="preserve">La modalidad de cursado para las clases de Contabilidad en Sistemas Integrados de Gestión que me fue asignada </t>
    </r>
    <r>
      <rPr>
        <b/>
        <sz val="10"/>
        <color theme="1"/>
        <rFont val="Arial"/>
        <family val="2"/>
      </rPr>
      <t>facilitó el intercambio con las docentes.</t>
    </r>
  </si>
  <si>
    <r>
      <t xml:space="preserve">La modalidad de cursado para las clases de Contabilidad en Sistemas Integrados de Gestión que me fue asignada </t>
    </r>
    <r>
      <rPr>
        <b/>
        <sz val="10"/>
        <color theme="1"/>
        <rFont val="Arial"/>
        <family val="2"/>
      </rPr>
      <t>colmó mis expectativas en relación al curso.</t>
    </r>
  </si>
  <si>
    <r>
      <t xml:space="preserve">Nombra el principal aspecto </t>
    </r>
    <r>
      <rPr>
        <b/>
        <sz val="10"/>
        <color theme="1"/>
        <rFont val="Arial"/>
        <family val="2"/>
      </rPr>
      <t>positivo</t>
    </r>
    <r>
      <rPr>
        <sz val="10"/>
        <color theme="1"/>
        <rFont val="Arial"/>
        <family val="2"/>
      </rPr>
      <t xml:space="preserve"> que tuvo haber participado por Zoom en las clases dictadas en forma híbrida.  </t>
    </r>
  </si>
  <si>
    <r>
      <t xml:space="preserve">Nombra el principal aspecto </t>
    </r>
    <r>
      <rPr>
        <b/>
        <sz val="10"/>
        <color theme="1"/>
        <rFont val="Arial"/>
        <family val="2"/>
      </rPr>
      <t>negativo</t>
    </r>
    <r>
      <rPr>
        <sz val="10"/>
        <color theme="1"/>
        <rFont val="Arial"/>
        <family val="2"/>
      </rPr>
      <t xml:space="preserve"> que tuvo haber participado por Zoom en las clases dictadas en forma híbrida.  </t>
    </r>
  </si>
  <si>
    <t>Si pudieras elegir la modalidad de un curso futuro con contenido similar al de Contabilidad en Sistemas Integrados de Gestión, ¿en qué orden de prioridad elegirías las siguientes modalidades?  [Primera opción]</t>
  </si>
  <si>
    <t>Si pudieras elegir la modalidad de un curso futuro con contenido similar al de Contabilidad en Sistemas Integrados de Gestión, ¿en qué orden de prioridad elegirías las siguientes modalidades?  [Segunda opción]</t>
  </si>
  <si>
    <t>Si pudieras elegir la modalidad de un curso futuro con contenido similar al de Contabilidad en Sistemas Integrados de Gestión, ¿en qué orden de prioridad elegirías las siguientes modalidades?  [Tercera opción]</t>
  </si>
  <si>
    <t>Tomando como base tu experiencia, ¿qué tan probable es que recomiendes a un amigo tomar un curso participando por zoom en una clase híbrida?</t>
  </si>
  <si>
    <t xml:space="preserve">Califique globalmente la unidad curricular Contabilidad en Sistemas Integrados de Gestión en términos del contenido temático, la bibliografía recomendada y material de estudio disponible, la relevancia de la temática para la vida profesional, etc. </t>
  </si>
  <si>
    <t xml:space="preserve">Califique globalmente el desempeño del equipo docente la unidad curricular Contabilidad en Sistemas Integrados de Gestión </t>
  </si>
  <si>
    <t xml:space="preserve">En el siguiente espacio puedes incluir todo comentario adicional que consideres pertinente expresar para contribuir a la evaluación de la experiencia </t>
  </si>
  <si>
    <t>flexibilidad de horario, podia unirme desde casa o desde el trabajo si se me complicaba.</t>
  </si>
  <si>
    <t>cuando hablan los estudiantes que van presencial no se les escucha a través del zoom</t>
  </si>
  <si>
    <t>Zoom</t>
  </si>
  <si>
    <t>Metaverso</t>
  </si>
  <si>
    <t>Presencial</t>
  </si>
  <si>
    <t>el poder participar e intercambiar puntos de vista en diferentes situaciones</t>
  </si>
  <si>
    <t>ninguno</t>
  </si>
  <si>
    <t>Me gusto mucho esta nueva experiencia y me ayudo a participar mas activamente en clases. Los profesoras muy buenas, explican muy bien</t>
  </si>
  <si>
    <t>La flexibilidad que me brinda la virtualidad</t>
  </si>
  <si>
    <t xml:space="preserve">No generó mi interés en la participación, si no fuera porque estaba condicionada por el proyecto hubiera dejado de asistir y hubiera estudiado por mi cuenta. </t>
  </si>
  <si>
    <t xml:space="preserve">En mi caso particular creo que la realización del sorteo inicial me perjudicó, se me adjudicó un horario que yo había puesto como última opción, habiendo disponibilidad en otro horario que me servía más, lo cual afectó negativamente la experiencia al no poder prestar atención  al 100% dado que la mitad del horario estaba en mi horario laboral aún. Luego independientemente de mi caso particular, no me gustó la modalidad híbrida, creo que no estaban dadas las condiciones para implantarla aún, hubo problemas técnicos y de gestión en cuanto a salones, audio, etc, los profesores le pusieron toda la dedicación pero a veces tendían a enfocarse en lo presencial y olvidarse del zoom al grado de que no se escuche lo que los compañeros comentaban en el salón y se perdiera el interés, creo que no se logró sinergia entre las modalidades y se empeoró la calidad de la parte virtual, se instaba a la participación grupal demasiadas veces, muchas de esas eran en vano porque nadie había leído nada ni escuchado y simplemente se esperaba a que pasaran los minutos en silencio, entiendo que esto implica una actitud del estudiante a mejorar, pero no veo que se controle ni se motive a cambiar. Muchas gracias por la oportunidad y el trabajo que han realizado para generar estos cambios en la enseñanza que sin duda mejorarán con la experiencia. </t>
  </si>
  <si>
    <t>En mi caso particular al no disponer de mucho tiempo se me hace mas accesible participar en esta modalidad, además de que ser una modadlidad on line fue muy fluido el intercambio con profesores y compañerosrealizando las prácticas.</t>
  </si>
  <si>
    <t>A vesces se cortaba la conección.</t>
  </si>
  <si>
    <t xml:space="preserve">En mi caso fue modalidad zoom la cual ya estaba acostumbrada a realizar por otras materias.  </t>
  </si>
  <si>
    <t>Pude hacerlo desde casa</t>
  </si>
  <si>
    <t>La clase por zoom tenia muchas dificultades al estar conectada a los profesores presenciales en el salón por lo tanto las primeras clases no se sentia como que estuvieramos en clase sino como observadores se una clase dictada a otros, fue muy raro</t>
  </si>
  <si>
    <t xml:space="preserve">Para mi que ya tome esta clase por zoom en otra oportunidad la opcion hibrida no fue de mi agrado, no te sentias parte de la clase ni la clase estaba dada para la gente de zoom, sin contar que los compañeros en el salon hablaban e interactuaban con el profesor y era un mundo paralelo en el qie no entendias nada. Para mi no fue de mi agrado quizas hay que ajustar la forma de la clase hibrida.  </t>
  </si>
  <si>
    <t>Max</t>
  </si>
  <si>
    <t>Min</t>
  </si>
  <si>
    <t>Desv Stad</t>
  </si>
  <si>
    <t>Average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</si>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</sst>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5" x14ac:knownFonts="1">
    <font>
      <sz val="11"/>
      <color theme="1"/>
      <name val="Calibri"/>
      <family val="2"/>
      <scheme val="minor"/>
    </font>
    <font>
      <sz val="10"/>
      <color theme="1"/>
      <name val="Calibri"/>
      <family val="2"/>
      <scheme val="minor"/>
    </font>
    <font>
      <b/>
      <sz val="10"/>
      <color theme="1"/>
      <name val="Arial"/>
      <family val="2"/>
    </font>
    <font>
      <sz val="10"/>
      <color theme="1"/>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7">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0" fontId="0" fillId="0" borderId="0" xfId="0" applyAlignment="1">
      <alignment wrapText="1"/>
    </xf>
    <xf numFmtId="9" fontId="0" fillId="0" borderId="0" xfId="1" applyFont="1"/>
    <xf numFmtId="165" fontId="0" fillId="0" borderId="0" xfId="0" applyNumberForma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
  <sheetViews>
    <sheetView tabSelected="1" workbookViewId="0">
      <selection activeCell="A4" sqref="A4"/>
    </sheetView>
  </sheetViews>
  <sheetFormatPr baseColWidth="10" defaultColWidth="12.5546875" defaultRowHeight="15.75" customHeight="1" x14ac:dyDescent="0.3"/>
  <cols>
    <col min="1" max="24" width="18.88671875" customWidth="1"/>
  </cols>
  <sheetData>
    <row r="1" spans="1:18" ht="15.75" customHeight="1" x14ac:dyDescent="0.3">
      <c r="C1">
        <v>1</v>
      </c>
      <c r="D1">
        <v>2</v>
      </c>
      <c r="E1">
        <v>3</v>
      </c>
      <c r="F1">
        <v>4</v>
      </c>
      <c r="G1">
        <v>5</v>
      </c>
      <c r="H1">
        <v>6</v>
      </c>
      <c r="I1">
        <v>7</v>
      </c>
      <c r="J1">
        <v>8</v>
      </c>
      <c r="K1">
        <v>9</v>
      </c>
      <c r="L1">
        <v>12</v>
      </c>
      <c r="M1">
        <v>12</v>
      </c>
      <c r="N1">
        <v>12</v>
      </c>
      <c r="O1">
        <v>13</v>
      </c>
      <c r="R1">
        <v>14</v>
      </c>
    </row>
    <row r="2" spans="1:18" ht="15.75" customHeight="1" x14ac:dyDescent="0.3">
      <c r="A2" t="s">
        <v>37</v>
      </c>
      <c r="C2">
        <f>AVERAGE(C7:C11)</f>
        <v>7.4</v>
      </c>
      <c r="D2">
        <f>AVERAGE(D7:D11)</f>
        <v>6.6</v>
      </c>
      <c r="E2">
        <f t="shared" ref="E2:N2" si="0">AVERAGE(E7:E11)</f>
        <v>6.4</v>
      </c>
      <c r="F2">
        <f t="shared" si="0"/>
        <v>6.4</v>
      </c>
      <c r="G2">
        <f t="shared" si="0"/>
        <v>5.4</v>
      </c>
      <c r="H2">
        <f t="shared" si="0"/>
        <v>7.2</v>
      </c>
      <c r="I2">
        <f t="shared" si="0"/>
        <v>6.8</v>
      </c>
      <c r="O2" s="5">
        <f>3/5-2/5</f>
        <v>0.19999999999999996</v>
      </c>
    </row>
    <row r="3" spans="1:18" ht="15.75" customHeight="1" x14ac:dyDescent="0.3">
      <c r="A3" t="s">
        <v>36</v>
      </c>
      <c r="C3" s="6">
        <f>_xlfn.STDEV.S(C7:C11)</f>
        <v>3.577708763999663</v>
      </c>
      <c r="D3" s="6">
        <f t="shared" ref="D3:I3" si="1">_xlfn.STDEV.S(D7:D11)</f>
        <v>4.2190046219457971</v>
      </c>
      <c r="E3" s="6">
        <f t="shared" si="1"/>
        <v>4.9295030175464944</v>
      </c>
      <c r="F3" s="6">
        <f t="shared" si="1"/>
        <v>3.7815340802378072</v>
      </c>
      <c r="G3" s="6">
        <f t="shared" si="1"/>
        <v>3.7815340802378072</v>
      </c>
      <c r="H3" s="6">
        <f t="shared" si="1"/>
        <v>3.7013511046643499</v>
      </c>
      <c r="I3" s="6">
        <f t="shared" si="1"/>
        <v>4.4384682042344297</v>
      </c>
      <c r="O3" s="5"/>
    </row>
    <row r="4" spans="1:18" ht="15.75" customHeight="1" x14ac:dyDescent="0.3">
      <c r="A4" t="s">
        <v>34</v>
      </c>
      <c r="C4">
        <f>MAX(C7:C11)</f>
        <v>10</v>
      </c>
      <c r="D4">
        <f>MAX(D7:D11)</f>
        <v>10</v>
      </c>
      <c r="E4">
        <f t="shared" ref="E4:O4" si="2">MAX(E7:E11)</f>
        <v>10</v>
      </c>
      <c r="F4">
        <f t="shared" si="2"/>
        <v>10</v>
      </c>
      <c r="G4">
        <f t="shared" si="2"/>
        <v>10</v>
      </c>
      <c r="H4">
        <f t="shared" si="2"/>
        <v>10</v>
      </c>
      <c r="I4">
        <f t="shared" si="2"/>
        <v>10</v>
      </c>
      <c r="J4">
        <f t="shared" si="2"/>
        <v>0</v>
      </c>
      <c r="K4">
        <f t="shared" si="2"/>
        <v>0</v>
      </c>
      <c r="L4">
        <f t="shared" si="2"/>
        <v>0</v>
      </c>
      <c r="M4">
        <f t="shared" si="2"/>
        <v>0</v>
      </c>
      <c r="N4">
        <f t="shared" si="2"/>
        <v>0</v>
      </c>
      <c r="O4">
        <f t="shared" si="2"/>
        <v>10</v>
      </c>
    </row>
    <row r="5" spans="1:18" ht="15.75" customHeight="1" x14ac:dyDescent="0.3">
      <c r="A5" t="s">
        <v>35</v>
      </c>
      <c r="C5">
        <f>MIN(C7:C11)</f>
        <v>3</v>
      </c>
      <c r="D5">
        <f>MIN(D7:D11)</f>
        <v>2</v>
      </c>
      <c r="E5">
        <f t="shared" ref="E5:O5" si="3">MIN(E7:E11)</f>
        <v>1</v>
      </c>
      <c r="F5">
        <f t="shared" si="3"/>
        <v>2</v>
      </c>
      <c r="G5">
        <f t="shared" si="3"/>
        <v>1</v>
      </c>
      <c r="H5">
        <f t="shared" si="3"/>
        <v>1</v>
      </c>
      <c r="I5">
        <f t="shared" si="3"/>
        <v>1</v>
      </c>
      <c r="J5">
        <f t="shared" si="3"/>
        <v>0</v>
      </c>
      <c r="K5">
        <f t="shared" si="3"/>
        <v>0</v>
      </c>
      <c r="L5">
        <f t="shared" si="3"/>
        <v>0</v>
      </c>
      <c r="M5">
        <f t="shared" si="3"/>
        <v>0</v>
      </c>
      <c r="N5">
        <f t="shared" si="3"/>
        <v>0</v>
      </c>
      <c r="O5">
        <f t="shared" si="3"/>
        <v>2</v>
      </c>
    </row>
    <row r="6" spans="1:18" s="4" customFormat="1" ht="193.2" x14ac:dyDescent="0.3">
      <c r="A6" s="3" t="s">
        <v>0</v>
      </c>
      <c r="B6" s="3" t="s">
        <v>38</v>
      </c>
      <c r="C6" s="3" t="s">
        <v>1</v>
      </c>
      <c r="D6" s="3" t="s">
        <v>2</v>
      </c>
      <c r="E6" s="3" t="s">
        <v>3</v>
      </c>
      <c r="F6" s="3" t="s">
        <v>4</v>
      </c>
      <c r="G6" s="3" t="s">
        <v>5</v>
      </c>
      <c r="H6" s="3" t="s">
        <v>6</v>
      </c>
      <c r="I6" s="3" t="s">
        <v>7</v>
      </c>
      <c r="J6" s="3" t="s">
        <v>8</v>
      </c>
      <c r="K6" s="3" t="s">
        <v>9</v>
      </c>
      <c r="L6" s="3" t="s">
        <v>10</v>
      </c>
      <c r="M6" s="3" t="s">
        <v>11</v>
      </c>
      <c r="N6" s="3" t="s">
        <v>12</v>
      </c>
      <c r="O6" s="3" t="s">
        <v>13</v>
      </c>
      <c r="P6" s="3" t="s">
        <v>14</v>
      </c>
      <c r="Q6" s="3" t="s">
        <v>15</v>
      </c>
      <c r="R6" s="3" t="s">
        <v>16</v>
      </c>
    </row>
    <row r="7" spans="1:18" ht="14.4" x14ac:dyDescent="0.3">
      <c r="A7" s="2"/>
      <c r="B7" s="1">
        <v>1</v>
      </c>
      <c r="C7" s="1">
        <v>10</v>
      </c>
      <c r="D7" s="1">
        <v>10</v>
      </c>
      <c r="E7" s="1">
        <v>10</v>
      </c>
      <c r="F7" s="1">
        <v>7</v>
      </c>
      <c r="G7" s="1">
        <v>7</v>
      </c>
      <c r="H7" s="1">
        <v>8</v>
      </c>
      <c r="I7" s="1">
        <v>10</v>
      </c>
      <c r="J7" s="1" t="s">
        <v>17</v>
      </c>
      <c r="K7" s="1" t="s">
        <v>18</v>
      </c>
      <c r="L7" s="1" t="s">
        <v>19</v>
      </c>
      <c r="M7" s="1" t="s">
        <v>20</v>
      </c>
      <c r="N7" s="1" t="s">
        <v>21</v>
      </c>
      <c r="O7" s="1">
        <v>10</v>
      </c>
      <c r="P7" s="1">
        <v>5</v>
      </c>
      <c r="Q7" s="1">
        <v>5</v>
      </c>
    </row>
    <row r="8" spans="1:18" ht="14.4" x14ac:dyDescent="0.3">
      <c r="A8" s="2"/>
      <c r="B8" s="1">
        <v>2</v>
      </c>
      <c r="C8" s="1">
        <v>10</v>
      </c>
      <c r="D8" s="1">
        <v>9</v>
      </c>
      <c r="E8" s="1">
        <v>10</v>
      </c>
      <c r="F8" s="1">
        <v>10</v>
      </c>
      <c r="G8" s="1">
        <v>7</v>
      </c>
      <c r="H8" s="1">
        <v>10</v>
      </c>
      <c r="I8" s="1">
        <v>10</v>
      </c>
      <c r="J8" s="1" t="s">
        <v>22</v>
      </c>
      <c r="K8" s="1" t="s">
        <v>23</v>
      </c>
      <c r="L8" s="1" t="s">
        <v>19</v>
      </c>
      <c r="M8" s="1" t="s">
        <v>20</v>
      </c>
      <c r="N8" s="1" t="s">
        <v>21</v>
      </c>
      <c r="O8" s="1">
        <v>9</v>
      </c>
      <c r="P8" s="1">
        <v>4</v>
      </c>
      <c r="Q8" s="1">
        <v>5</v>
      </c>
      <c r="R8" s="1" t="s">
        <v>24</v>
      </c>
    </row>
    <row r="9" spans="1:18" ht="14.4" x14ac:dyDescent="0.3">
      <c r="A9" s="2"/>
      <c r="B9" s="1">
        <v>3</v>
      </c>
      <c r="C9" s="1">
        <v>3</v>
      </c>
      <c r="D9" s="1">
        <v>2</v>
      </c>
      <c r="E9" s="1">
        <v>1</v>
      </c>
      <c r="F9" s="1">
        <v>2</v>
      </c>
      <c r="G9" s="1">
        <v>1</v>
      </c>
      <c r="H9" s="1">
        <v>7</v>
      </c>
      <c r="I9" s="1">
        <v>3</v>
      </c>
      <c r="J9" s="1" t="s">
        <v>25</v>
      </c>
      <c r="K9" s="1" t="s">
        <v>26</v>
      </c>
      <c r="L9" s="1" t="s">
        <v>19</v>
      </c>
      <c r="M9" s="1" t="s">
        <v>20</v>
      </c>
      <c r="N9" s="1" t="s">
        <v>21</v>
      </c>
      <c r="O9" s="1">
        <v>2</v>
      </c>
      <c r="P9" s="1">
        <v>4</v>
      </c>
      <c r="Q9" s="1">
        <v>4</v>
      </c>
      <c r="R9" s="1" t="s">
        <v>27</v>
      </c>
    </row>
    <row r="10" spans="1:18" ht="14.4" x14ac:dyDescent="0.3">
      <c r="A10" s="2"/>
      <c r="B10" s="1">
        <v>4</v>
      </c>
      <c r="C10" s="1">
        <v>10</v>
      </c>
      <c r="D10" s="1">
        <v>10</v>
      </c>
      <c r="E10" s="1">
        <v>10</v>
      </c>
      <c r="F10" s="1">
        <v>10</v>
      </c>
      <c r="G10" s="1">
        <v>10</v>
      </c>
      <c r="H10" s="1">
        <v>10</v>
      </c>
      <c r="I10" s="1">
        <v>10</v>
      </c>
      <c r="J10" s="1" t="s">
        <v>28</v>
      </c>
      <c r="K10" s="1" t="s">
        <v>29</v>
      </c>
      <c r="L10" s="1" t="s">
        <v>19</v>
      </c>
      <c r="M10" s="1" t="s">
        <v>20</v>
      </c>
      <c r="N10" s="1" t="s">
        <v>20</v>
      </c>
      <c r="O10" s="1">
        <v>10</v>
      </c>
      <c r="P10" s="1">
        <v>5</v>
      </c>
      <c r="Q10" s="1">
        <v>5</v>
      </c>
      <c r="R10" s="1" t="s">
        <v>30</v>
      </c>
    </row>
    <row r="11" spans="1:18" ht="14.4" x14ac:dyDescent="0.3">
      <c r="A11" s="2"/>
      <c r="B11" s="1">
        <v>5</v>
      </c>
      <c r="C11" s="1">
        <v>4</v>
      </c>
      <c r="D11" s="1">
        <v>2</v>
      </c>
      <c r="E11" s="1">
        <v>1</v>
      </c>
      <c r="F11" s="1">
        <v>3</v>
      </c>
      <c r="G11" s="1">
        <v>2</v>
      </c>
      <c r="H11" s="1">
        <v>1</v>
      </c>
      <c r="I11" s="1">
        <v>1</v>
      </c>
      <c r="J11" s="1" t="s">
        <v>31</v>
      </c>
      <c r="K11" s="1" t="s">
        <v>32</v>
      </c>
      <c r="L11" s="1" t="s">
        <v>20</v>
      </c>
      <c r="M11" s="1" t="s">
        <v>21</v>
      </c>
      <c r="N11" s="1" t="s">
        <v>19</v>
      </c>
      <c r="O11" s="1">
        <v>3</v>
      </c>
      <c r="P11" s="1">
        <v>4</v>
      </c>
      <c r="Q11" s="1">
        <v>3</v>
      </c>
      <c r="R11" s="1" t="s">
        <v>33</v>
      </c>
    </row>
    <row r="14" spans="1:18" ht="15.75" customHeight="1" x14ac:dyDescent="0.3">
      <c r="L14">
        <f>4/5</f>
        <v>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dc:creator>
  <cp:lastModifiedBy>Jose Joskowicz</cp:lastModifiedBy>
  <dcterms:created xsi:type="dcterms:W3CDTF">2024-06-06T14:53:13Z</dcterms:created>
  <dcterms:modified xsi:type="dcterms:W3CDTF">2026-01-28T00:07:37Z</dcterms:modified>
</cp:coreProperties>
</file>