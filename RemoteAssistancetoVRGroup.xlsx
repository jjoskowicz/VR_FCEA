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Jose\Publicaciones\2025 IEEE Latin America Transactions Virtual Reality\Lat Am Trans VR Revision 2\Datos y codigo\"/>
    </mc:Choice>
  </mc:AlternateContent>
  <xr:revisionPtr revIDLastSave="0" documentId="13_ncr:1_{DD0C3D64-CAFC-4DCA-9B87-78DFD9211AC4}" xr6:coauthVersionLast="47" xr6:coauthVersionMax="47" xr10:uidLastSave="{00000000-0000-0000-0000-000000000000}"/>
  <bookViews>
    <workbookView xWindow="-108" yWindow="-108" windowWidth="23256" windowHeight="13896"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c r="U3" i="1"/>
  <c r="R3" i="1"/>
  <c r="N3" i="1"/>
  <c r="M3" i="1"/>
  <c r="L3" i="1"/>
  <c r="I3" i="1"/>
  <c r="H3" i="1"/>
  <c r="G3" i="1"/>
  <c r="F3" i="1"/>
  <c r="E3" i="1"/>
  <c r="D3" i="1"/>
  <c r="C3" i="1"/>
  <c r="R17" i="1"/>
  <c r="O19" i="1"/>
  <c r="O18" i="1"/>
  <c r="O17" i="1"/>
  <c r="N5" i="1"/>
  <c r="M5" i="1"/>
  <c r="L5" i="1"/>
  <c r="K5" i="1"/>
  <c r="J5" i="1"/>
  <c r="I5" i="1"/>
  <c r="H5" i="1"/>
  <c r="G5" i="1"/>
  <c r="F5" i="1"/>
  <c r="E5" i="1"/>
  <c r="D5" i="1"/>
  <c r="N4" i="1"/>
  <c r="M4" i="1"/>
  <c r="L4" i="1"/>
  <c r="K4" i="1"/>
  <c r="J4" i="1"/>
  <c r="I4" i="1"/>
  <c r="H4" i="1"/>
  <c r="G4" i="1"/>
  <c r="F4" i="1"/>
  <c r="E4" i="1"/>
  <c r="D4" i="1"/>
  <c r="C5" i="1"/>
  <c r="C4" i="1"/>
  <c r="V2" i="1"/>
  <c r="U2" i="1"/>
  <c r="R2" i="1"/>
  <c r="N2" i="1"/>
  <c r="M2" i="1"/>
  <c r="L2" i="1"/>
  <c r="I2" i="1"/>
  <c r="H2" i="1"/>
  <c r="G2" i="1"/>
  <c r="F2" i="1"/>
  <c r="E2" i="1"/>
  <c r="D2" i="1"/>
  <c r="C2" i="1"/>
</calcChain>
</file>

<file path=xl/sharedStrings.xml><?xml version="1.0" encoding="utf-8"?>
<sst xmlns="http://schemas.openxmlformats.org/spreadsheetml/2006/main" count="85" uniqueCount="61">
  <si>
    <t>Considerando globalmente las clases en las que participaste de Contabilidad en Sistemas Integrados de Gestión, ¿cuál es tu grado de satisfacción con la modalidad de cursado que te fue asignada para el proyecto de investigación?</t>
  </si>
  <si>
    <r>
      <t xml:space="preserve">La modalidad de cursado para las clases de Contabilidad en Sistemas Integrados de Gestión que me fue asignada </t>
    </r>
    <r>
      <rPr>
        <b/>
        <sz val="10"/>
        <color theme="1"/>
        <rFont val="Arial"/>
        <family val="2"/>
      </rPr>
      <t>contribuyó positivamente a mi proceso de aprendizaje.</t>
    </r>
  </si>
  <si>
    <r>
      <t xml:space="preserve">La modalidad de cursado para las clases de Contabilidad en Sistemas Integrados de Gestión que me fue asignada </t>
    </r>
    <r>
      <rPr>
        <b/>
        <sz val="10"/>
        <color theme="1"/>
        <rFont val="Arial"/>
        <family val="2"/>
      </rPr>
      <t>me mantuvo motivado para participar en las clases.</t>
    </r>
  </si>
  <si>
    <r>
      <t xml:space="preserve">La modalidad de cursado para las clases de Contabilidad en Sistemas Integrados de Gestión que me fue asignada </t>
    </r>
    <r>
      <rPr>
        <b/>
        <sz val="10"/>
        <color theme="1"/>
        <rFont val="Arial"/>
        <family val="2"/>
      </rPr>
      <t>contribuyó a que participara activamente durante las clases.</t>
    </r>
  </si>
  <si>
    <r>
      <t xml:space="preserve">La modalidad de cursado para las clases de Contabilidad en Sistemas Integrados de Gestión que me fue asignada </t>
    </r>
    <r>
      <rPr>
        <b/>
        <sz val="10"/>
        <color theme="1"/>
        <rFont val="Arial"/>
        <family val="2"/>
      </rPr>
      <t>facilitó el intercambio con mis compañeros de clase.</t>
    </r>
  </si>
  <si>
    <r>
      <t xml:space="preserve">La modalidad de cursado para las clases de Contabilidad en Sistemas Integrados de Gestión que me fue asignada </t>
    </r>
    <r>
      <rPr>
        <b/>
        <sz val="10"/>
        <color theme="1"/>
        <rFont val="Arial"/>
        <family val="2"/>
      </rPr>
      <t>facilitó el intercambio con las docentes.</t>
    </r>
  </si>
  <si>
    <r>
      <t xml:space="preserve">La modalidad de cursado para las clases de Contabilidad en Sistemas Integrados de Gestión que me fue asignada </t>
    </r>
    <r>
      <rPr>
        <b/>
        <sz val="10"/>
        <color theme="1"/>
        <rFont val="Arial"/>
        <family val="2"/>
      </rPr>
      <t>colmó mis expectativas en relación al curso.</t>
    </r>
  </si>
  <si>
    <r>
      <t xml:space="preserve">Nombra el principal aspecto </t>
    </r>
    <r>
      <rPr>
        <b/>
        <sz val="10"/>
        <color theme="1"/>
        <rFont val="Arial"/>
        <family val="2"/>
      </rPr>
      <t>positivo</t>
    </r>
    <r>
      <rPr>
        <sz val="10"/>
        <color theme="1"/>
        <rFont val="Arial"/>
        <family val="2"/>
      </rPr>
      <t xml:space="preserve"> que tuvo haber participado de las clases a través de la plataforma Teams con la posibilidad de ver lo que ocurre en el aula alojada en el metaverso.  </t>
    </r>
  </si>
  <si>
    <r>
      <t xml:space="preserve">Nombra el principal aspecto </t>
    </r>
    <r>
      <rPr>
        <b/>
        <sz val="10"/>
        <color theme="1"/>
        <rFont val="Arial"/>
        <family val="2"/>
      </rPr>
      <t>negativo</t>
    </r>
    <r>
      <rPr>
        <sz val="10"/>
        <color theme="1"/>
        <rFont val="Arial"/>
        <family val="2"/>
      </rPr>
      <t xml:space="preserve"> que tuvo haber participado de las clases  a través de la plataforma Teams con la posibilidad de ver lo que ocurre en el aula alojada en el metaverso.  </t>
    </r>
  </si>
  <si>
    <t xml:space="preserve">En comparación a Zoom, ¿cómo calificarías la facilidad de uso de la plataforma utilizada (Teams) para participar de forma remota en la clase dictada en el aula de realidad virtual? </t>
  </si>
  <si>
    <t xml:space="preserve">En comparación a Zoom, ¿cómo calificarías las funcionalidades de la plataforma utilizada para participar de forma remota en la clase dictada en el aula de realidad virtual? (calidad del audio, calidad de visualización de la pantalla compartida, entre otras) </t>
  </si>
  <si>
    <t xml:space="preserve">En mi opinión utilizar tecnología de realidad virtual para un curso de este tipo es: </t>
  </si>
  <si>
    <t>Si pudieras elegir la modalidad de un curso futuro con contenido similar al de Contabilidad en Sistemas Integrados de Gestión, ¿en qué orden de prioridad elegirías las siguientes modalidades?  [Primera opción]</t>
  </si>
  <si>
    <t>Si pudieras elegir la modalidad de un curso futuro con contenido similar al de Contabilidad en Sistemas Integrados de Gestión, ¿en qué orden de prioridad elegirías las siguientes modalidades?  [Segunda opción]</t>
  </si>
  <si>
    <t>Si pudieras elegir la modalidad de un curso futuro con contenido similar al de Contabilidad en Sistemas Integrados de Gestión, ¿en qué orden de prioridad elegirías las siguientes modalidades?  [Tercera opción]</t>
  </si>
  <si>
    <t>Tomando como base tu experiencia, ¿qué tan probable es que recomiendes a un amigo tomar un curso participando remotamente, a través de Teams, en un aula de realidad virtual?</t>
  </si>
  <si>
    <t>¿Qué sugerencias realizarías a los docentes para atender a los estudiantes que participen remotamente en el aula de realidad virtual, a través de Teams, en futuros cursos que se dicten en dicho entorno?</t>
  </si>
  <si>
    <t xml:space="preserve">¿Qué funciones agregarías a la plataforma de conexión remota a la sala de realidad virtual? </t>
  </si>
  <si>
    <t xml:space="preserve">Califique globalmente la unidad curricular Contabilidad en Sistemas Integrados de Gestión en términos del contenido temático, la bibliografía recomendada y material de estudio disponible, la relevancia de la temática para la vida profesional, etc. </t>
  </si>
  <si>
    <t xml:space="preserve">Califique globalmente el desempeño del equipo docente la unidad curricular Contabilidad en Sistemas Integrados de Gestión </t>
  </si>
  <si>
    <t xml:space="preserve">En el siguiente espacio puedes incluir todo comentario adicional que consideres pertinente expresar para contribuir a la evaluación de la experiencia </t>
  </si>
  <si>
    <t>Una forma diferente de aprendizaje, muy atractiva.</t>
  </si>
  <si>
    <t>Cuando participaba, los compañeros y docentes que estaban en el metaverso, no podían ver mi nombre.</t>
  </si>
  <si>
    <t>Metaverso</t>
  </si>
  <si>
    <t>Teams/Zoom</t>
  </si>
  <si>
    <t>Presencial</t>
  </si>
  <si>
    <t>Involucren más a las personas que estamos por teams.</t>
  </si>
  <si>
    <t>Que los docentes y compañeros que están en el metaverso, puedan ver que están levantando la mano desde Teams y los nombres de las personas que están hablando.</t>
  </si>
  <si>
    <t>Permite que el estudiante pueda asisitr a clase sin la necesidad de perder tiempos en traslados</t>
  </si>
  <si>
    <t>En ocasiones las tareas encomendadas no eran tan claramente explicadas</t>
  </si>
  <si>
    <t>Cuando reparten a los estudiantes en salas para realizar alguna actividad, que ingresen a la sala para ver dudas</t>
  </si>
  <si>
    <t>La dinámica de la clase y el participar activamente de ella.</t>
  </si>
  <si>
    <t>Al verlo por fuera te dan ganas de estar ahí también usando el casco.</t>
  </si>
  <si>
    <t>Que no se olviden de los que participamos sin casco.</t>
  </si>
  <si>
    <t>Lo que le faltaba era un chat, pero entiendo que es mas complicado para que el docente y los compañeros con casco puedan verlo.</t>
  </si>
  <si>
    <t>Gracias por brindar a los estudiantes la oportunidad de participar en este primer proyecto de metaverso que realizan. Sin dudas una experiencia muy enriquecedora a nivel estudiantil y seguramente docente. Por mi parte, comentarles que trabajo 8 h de lunes a viernes, tengo una hija (Olivia) de tres años y como se imaginarán se me hace muy difícil asistir a las clases presenciales en facultad. En esta opción de cursado a distancia y nueva modalidad virtual, forme parte del grupo que no tenia casco, pero al participar en zoom/teams y ver como se iban desarrollando las clases y el nivel de organización hizo que me sintiera como si estuviera en facultad. Sobre todo porque las hicieron participativas súper dinámicas nada parecido a las clases de zoom que acostumbro a ver. Realmente me entusiasmo!! Los felicito!!!</t>
  </si>
  <si>
    <t>Los alumnos participaban, y se creaba un ambiente cálido,</t>
  </si>
  <si>
    <t>Se perdía bastante tiempo con la preparación de la sala metaverso.</t>
  </si>
  <si>
    <t>Desde mi perspectiva los docentes estuvieron muy atentos siempre a todas las clases y en los foros, así que no se me ocurre que sugerencias realizar.</t>
  </si>
  <si>
    <t>Para los que estamos fuera, sin casco, una visibilidad como si estuviésemos dentro( una vista en primera persona como la que ofrecen los juegos) , nos haría sentir mas participes.</t>
  </si>
  <si>
    <t>mayor inmersión en la clase</t>
  </si>
  <si>
    <t>no contar con igualdad de tecnologías</t>
  </si>
  <si>
    <t xml:space="preserve">Fue innovadora la experiencia </t>
  </si>
  <si>
    <t>No fue fluida la clase como yo esperaba</t>
  </si>
  <si>
    <t>Clases bien estructuradas, se podía participar con facilidad y el intercambio era muy fluido con los profesores.</t>
  </si>
  <si>
    <t xml:space="preserve">La demora para iniciar las clases por los problemas técnicos que le surgían a quienes usaban los cascos de realidad virtual, sea alumnos y/o profesores. </t>
  </si>
  <si>
    <t xml:space="preserve">Una sugerencia podría ser que quienes están a través de Teams tengan mas participación, qué se le pueda consultar mas sobre lo trabajado en clase ya que si bien se hacia, fuimos mas espectadores de la clase que participante de la misma. </t>
  </si>
  <si>
    <t xml:space="preserve">Que se puedan sacar apuntes mientras la clase se está dictando, o que la clase pueda ser transcripta y al finalizar la misma se pueda descargar un tipo de archivo con información relevante sobre la clase. </t>
  </si>
  <si>
    <t>.</t>
  </si>
  <si>
    <t xml:space="preserve">La interacción con los docentes y los compañeros fue muy activa. </t>
  </si>
  <si>
    <t xml:space="preserve">Que sólo fueran unos pocos los compañeros que tuvieron la oportunidad de utilizar los lentes- </t>
  </si>
  <si>
    <t xml:space="preserve">Quizás podrían realizar una clase (presencial) para que todos los alumnos que quedaron en el proyecto puedan tener la experiencia de la realidad virtual aunque sea por unos minutos. </t>
  </si>
  <si>
    <t>Fue una experiencia nueva, que hacia las clases más dinámicas y participativas</t>
  </si>
  <si>
    <t>La dispersión y demora al momento de cambiar de plataforma</t>
  </si>
  <si>
    <t>10a</t>
  </si>
  <si>
    <t>10b</t>
  </si>
  <si>
    <t>Max</t>
  </si>
  <si>
    <t>Min</t>
  </si>
  <si>
    <t>Desv Standard</t>
  </si>
  <si>
    <t>ID</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</si>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</sst>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m/d/yyyy\ h:mm:ss"/>
    <numFmt numFmtId="165" formatCode="_-* #,##0.0_-;\-* #,##0.0_-;_-* &quot;-&quot;??_-;_-@_-"/>
  </numFmts>
  <fonts count="5" x14ac:knownFonts="1">
    <font>
      <sz val="11"/>
      <color theme="1"/>
      <name val="Calibri"/>
      <family val="2"/>
      <scheme val="minor"/>
    </font>
    <font>
      <sz val="10"/>
      <color theme="1"/>
      <name val="Calibri"/>
      <family val="2"/>
      <scheme val="minor"/>
    </font>
    <font>
      <b/>
      <sz val="10"/>
      <color theme="1"/>
      <name val="Arial"/>
      <family val="2"/>
    </font>
    <font>
      <sz val="10"/>
      <color theme="1"/>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4" fillId="0" borderId="0" applyFont="0" applyFill="0" applyBorder="0" applyAlignment="0" applyProtection="0"/>
  </cellStyleXfs>
  <cellXfs count="6">
    <xf numFmtId="0" fontId="0" fillId="0" borderId="0" xfId="0"/>
    <xf numFmtId="0" fontId="1" fillId="0" borderId="0" xfId="0" applyFont="1"/>
    <xf numFmtId="164" fontId="1" fillId="0" borderId="0" xfId="0" applyNumberFormat="1" applyFont="1"/>
    <xf numFmtId="0" fontId="1" fillId="0" borderId="0" xfId="0" applyFont="1" applyAlignment="1">
      <alignment wrapText="1"/>
    </xf>
    <xf numFmtId="0" fontId="0" fillId="0" borderId="0" xfId="0" applyAlignment="1">
      <alignment wrapText="1"/>
    </xf>
    <xf numFmtId="165" fontId="0" fillId="0" borderId="0" xfId="1" applyNumberFormat="1" applyFont="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tabSelected="1" workbookViewId="0">
      <selection activeCell="C2" sqref="C2"/>
    </sheetView>
  </sheetViews>
  <sheetFormatPr baseColWidth="10" defaultColWidth="12.5546875" defaultRowHeight="15.75" customHeight="1" x14ac:dyDescent="0.3"/>
  <cols>
    <col min="1" max="29" width="18.88671875" customWidth="1"/>
  </cols>
  <sheetData>
    <row r="1" spans="1:23" ht="15.75" customHeight="1" x14ac:dyDescent="0.3">
      <c r="C1">
        <v>1</v>
      </c>
      <c r="D1">
        <v>2</v>
      </c>
      <c r="E1">
        <v>3</v>
      </c>
      <c r="F1">
        <v>4</v>
      </c>
      <c r="G1">
        <v>5</v>
      </c>
      <c r="H1">
        <v>6</v>
      </c>
      <c r="I1">
        <v>7</v>
      </c>
      <c r="J1">
        <v>8</v>
      </c>
      <c r="K1">
        <v>9</v>
      </c>
      <c r="L1" t="s">
        <v>54</v>
      </c>
      <c r="M1" t="s">
        <v>55</v>
      </c>
      <c r="N1">
        <v>11</v>
      </c>
      <c r="O1">
        <v>12</v>
      </c>
      <c r="P1">
        <v>12</v>
      </c>
      <c r="Q1">
        <v>12</v>
      </c>
      <c r="R1">
        <v>13</v>
      </c>
      <c r="S1">
        <v>14</v>
      </c>
      <c r="T1">
        <v>15</v>
      </c>
      <c r="W1">
        <v>16</v>
      </c>
    </row>
    <row r="2" spans="1:23" ht="15.75" customHeight="1" x14ac:dyDescent="0.3">
      <c r="B2" t="s">
        <v>60</v>
      </c>
      <c r="C2" s="5">
        <f t="shared" ref="C2:X2" si="0">AVERAGE(C7:C15)</f>
        <v>8.1111111111111107</v>
      </c>
      <c r="D2" s="5">
        <f t="shared" si="0"/>
        <v>8.1111111111111107</v>
      </c>
      <c r="E2" s="5">
        <f t="shared" si="0"/>
        <v>8</v>
      </c>
      <c r="F2" s="5">
        <f t="shared" si="0"/>
        <v>6.8888888888888893</v>
      </c>
      <c r="G2" s="5">
        <f t="shared" si="0"/>
        <v>7.1111111111111107</v>
      </c>
      <c r="H2" s="5">
        <f t="shared" si="0"/>
        <v>7.4444444444444446</v>
      </c>
      <c r="I2" s="5">
        <f t="shared" si="0"/>
        <v>7.5555555555555554</v>
      </c>
      <c r="J2" s="5"/>
      <c r="K2" s="5"/>
      <c r="L2" s="5">
        <f t="shared" si="0"/>
        <v>4</v>
      </c>
      <c r="M2" s="5">
        <f t="shared" si="0"/>
        <v>4</v>
      </c>
      <c r="N2" s="5">
        <f t="shared" si="0"/>
        <v>4.333333333333333</v>
      </c>
      <c r="O2" s="5"/>
      <c r="P2" s="5"/>
      <c r="Q2" s="5"/>
      <c r="R2" s="5">
        <f t="shared" si="0"/>
        <v>8.7777777777777786</v>
      </c>
      <c r="S2" s="5"/>
      <c r="T2" s="5"/>
      <c r="U2" s="5">
        <f t="shared" si="0"/>
        <v>4.333333333333333</v>
      </c>
      <c r="V2" s="5">
        <f t="shared" si="0"/>
        <v>4.666666666666667</v>
      </c>
      <c r="W2" s="5"/>
    </row>
    <row r="3" spans="1:23" ht="15.75" customHeight="1" x14ac:dyDescent="0.3">
      <c r="B3" t="s">
        <v>58</v>
      </c>
      <c r="C3" s="5">
        <f>_xlfn.STDEV.S(C7:C15)</f>
        <v>1.0540925533894612</v>
      </c>
      <c r="D3" s="5">
        <f t="shared" ref="D3:I3" si="1">_xlfn.STDEV.S(D7:D15)</f>
        <v>1.6914819275153707</v>
      </c>
      <c r="E3" s="5">
        <f t="shared" si="1"/>
        <v>1.1180339887498949</v>
      </c>
      <c r="F3" s="5">
        <f t="shared" si="1"/>
        <v>2.4720661623652216</v>
      </c>
      <c r="G3" s="5">
        <f t="shared" si="1"/>
        <v>1.7638342073763946</v>
      </c>
      <c r="H3" s="5">
        <f t="shared" si="1"/>
        <v>1.5898986690282431</v>
      </c>
      <c r="I3" s="5">
        <f t="shared" si="1"/>
        <v>1.9436506316150985</v>
      </c>
      <c r="J3" s="5"/>
      <c r="K3" s="5"/>
      <c r="L3" s="5">
        <f t="shared" ref="L3:N3" si="2">_xlfn.STDEV.S(L7:L15)</f>
        <v>1</v>
      </c>
      <c r="M3" s="5">
        <f t="shared" si="2"/>
        <v>0.8660254037844386</v>
      </c>
      <c r="N3" s="5">
        <f t="shared" si="2"/>
        <v>1</v>
      </c>
      <c r="O3" s="5"/>
      <c r="P3" s="5"/>
      <c r="Q3" s="5"/>
      <c r="R3" s="5">
        <f t="shared" ref="R3" si="3">_xlfn.STDEV.S(R7:R15)</f>
        <v>1.4813657362192643</v>
      </c>
      <c r="S3" s="5"/>
      <c r="T3" s="5"/>
      <c r="U3" s="5">
        <f t="shared" ref="U3:V3" si="4">_xlfn.STDEV.S(U7:U15)</f>
        <v>0.70710678118654757</v>
      </c>
      <c r="V3" s="5">
        <f t="shared" si="4"/>
        <v>0.70710678118654757</v>
      </c>
      <c r="W3" s="5"/>
    </row>
    <row r="4" spans="1:23" ht="15.75" customHeight="1" x14ac:dyDescent="0.3">
      <c r="B4" t="s">
        <v>56</v>
      </c>
      <c r="C4">
        <f>MAX(C7:C15)</f>
        <v>10</v>
      </c>
      <c r="D4">
        <f t="shared" ref="D4:N4" si="5">MAX(D7:D15)</f>
        <v>10</v>
      </c>
      <c r="E4">
        <f t="shared" si="5"/>
        <v>10</v>
      </c>
      <c r="F4">
        <f t="shared" si="5"/>
        <v>10</v>
      </c>
      <c r="G4">
        <f t="shared" si="5"/>
        <v>10</v>
      </c>
      <c r="H4">
        <f t="shared" si="5"/>
        <v>10</v>
      </c>
      <c r="I4">
        <f t="shared" si="5"/>
        <v>10</v>
      </c>
      <c r="J4">
        <f t="shared" si="5"/>
        <v>0</v>
      </c>
      <c r="K4">
        <f t="shared" si="5"/>
        <v>0</v>
      </c>
      <c r="L4">
        <f t="shared" si="5"/>
        <v>5</v>
      </c>
      <c r="M4">
        <f t="shared" si="5"/>
        <v>5</v>
      </c>
      <c r="N4">
        <f t="shared" si="5"/>
        <v>5</v>
      </c>
    </row>
    <row r="5" spans="1:23" ht="15.75" customHeight="1" x14ac:dyDescent="0.3">
      <c r="B5" t="s">
        <v>57</v>
      </c>
      <c r="C5">
        <f>MIN(C7:C15)</f>
        <v>7</v>
      </c>
      <c r="D5">
        <f t="shared" ref="D5:N5" si="6">MIN(D7:D15)</f>
        <v>5</v>
      </c>
      <c r="E5">
        <f t="shared" si="6"/>
        <v>7</v>
      </c>
      <c r="F5">
        <f t="shared" si="6"/>
        <v>3</v>
      </c>
      <c r="G5">
        <f t="shared" si="6"/>
        <v>5</v>
      </c>
      <c r="H5">
        <f t="shared" si="6"/>
        <v>5</v>
      </c>
      <c r="I5">
        <f t="shared" si="6"/>
        <v>4</v>
      </c>
      <c r="J5">
        <f t="shared" si="6"/>
        <v>0</v>
      </c>
      <c r="K5">
        <f t="shared" si="6"/>
        <v>0</v>
      </c>
      <c r="L5">
        <f t="shared" si="6"/>
        <v>2</v>
      </c>
      <c r="M5">
        <f t="shared" si="6"/>
        <v>3</v>
      </c>
      <c r="N5">
        <f t="shared" si="6"/>
        <v>2</v>
      </c>
    </row>
    <row r="6" spans="1:23" s="4" customFormat="1" ht="193.2" x14ac:dyDescent="0.3">
      <c r="A6" s="3"/>
      <c r="B6" s="3" t="s">
        <v>59</v>
      </c>
      <c r="C6" s="3" t="s">
        <v>0</v>
      </c>
      <c r="D6" s="3" t="s">
        <v>1</v>
      </c>
      <c r="E6" s="3" t="s">
        <v>2</v>
      </c>
      <c r="F6" s="3" t="s">
        <v>3</v>
      </c>
      <c r="G6" s="3" t="s">
        <v>4</v>
      </c>
      <c r="H6" s="3" t="s">
        <v>5</v>
      </c>
      <c r="I6" s="3" t="s">
        <v>6</v>
      </c>
      <c r="J6" s="3" t="s">
        <v>7</v>
      </c>
      <c r="K6" s="3" t="s">
        <v>8</v>
      </c>
      <c r="L6" s="3" t="s">
        <v>9</v>
      </c>
      <c r="M6" s="3" t="s">
        <v>10</v>
      </c>
      <c r="N6" s="3" t="s">
        <v>11</v>
      </c>
      <c r="O6" s="3" t="s">
        <v>12</v>
      </c>
      <c r="P6" s="3" t="s">
        <v>13</v>
      </c>
      <c r="Q6" s="3" t="s">
        <v>14</v>
      </c>
      <c r="R6" s="3" t="s">
        <v>15</v>
      </c>
      <c r="S6" s="3" t="s">
        <v>16</v>
      </c>
      <c r="T6" s="3" t="s">
        <v>17</v>
      </c>
      <c r="U6" s="3" t="s">
        <v>18</v>
      </c>
      <c r="V6" s="3" t="s">
        <v>19</v>
      </c>
      <c r="W6" s="3" t="s">
        <v>20</v>
      </c>
    </row>
    <row r="7" spans="1:23" ht="14.4" x14ac:dyDescent="0.3">
      <c r="A7" s="2"/>
      <c r="B7" s="1">
        <v>1</v>
      </c>
      <c r="C7" s="1">
        <v>9</v>
      </c>
      <c r="D7" s="1">
        <v>10</v>
      </c>
      <c r="E7" s="1">
        <v>9</v>
      </c>
      <c r="F7" s="1">
        <v>6</v>
      </c>
      <c r="G7" s="1">
        <v>6</v>
      </c>
      <c r="H7" s="1">
        <v>6</v>
      </c>
      <c r="I7" s="1">
        <v>8</v>
      </c>
      <c r="J7" s="1" t="s">
        <v>21</v>
      </c>
      <c r="K7" s="1" t="s">
        <v>22</v>
      </c>
      <c r="L7" s="1">
        <v>4</v>
      </c>
      <c r="M7" s="1">
        <v>4</v>
      </c>
      <c r="N7" s="1">
        <v>5</v>
      </c>
      <c r="O7" s="1" t="s">
        <v>23</v>
      </c>
      <c r="P7" s="1" t="s">
        <v>24</v>
      </c>
      <c r="Q7" s="1" t="s">
        <v>25</v>
      </c>
      <c r="R7" s="1">
        <v>9</v>
      </c>
      <c r="S7" s="1" t="s">
        <v>26</v>
      </c>
      <c r="T7" s="1" t="s">
        <v>27</v>
      </c>
      <c r="U7" s="1">
        <v>4</v>
      </c>
      <c r="V7" s="1">
        <v>5</v>
      </c>
    </row>
    <row r="8" spans="1:23" ht="14.4" x14ac:dyDescent="0.3">
      <c r="A8" s="2"/>
      <c r="B8" s="1">
        <v>2</v>
      </c>
      <c r="C8" s="1">
        <v>7</v>
      </c>
      <c r="D8" s="1">
        <v>6</v>
      </c>
      <c r="E8" s="1">
        <v>8</v>
      </c>
      <c r="F8" s="1">
        <v>6</v>
      </c>
      <c r="G8" s="1">
        <v>7</v>
      </c>
      <c r="H8" s="1">
        <v>6</v>
      </c>
      <c r="I8" s="1">
        <v>8</v>
      </c>
      <c r="J8" s="1" t="s">
        <v>28</v>
      </c>
      <c r="K8" s="1" t="s">
        <v>29</v>
      </c>
      <c r="L8" s="1">
        <v>5</v>
      </c>
      <c r="M8" s="1">
        <v>5</v>
      </c>
      <c r="N8" s="1">
        <v>5</v>
      </c>
      <c r="O8" s="1" t="s">
        <v>24</v>
      </c>
      <c r="P8" s="1" t="s">
        <v>23</v>
      </c>
      <c r="Q8" s="1" t="s">
        <v>25</v>
      </c>
      <c r="R8" s="1">
        <v>9</v>
      </c>
      <c r="S8" s="1" t="s">
        <v>30</v>
      </c>
      <c r="U8" s="1">
        <v>3</v>
      </c>
      <c r="V8" s="1">
        <v>3</v>
      </c>
    </row>
    <row r="9" spans="1:23" ht="14.4" x14ac:dyDescent="0.3">
      <c r="A9" s="2"/>
      <c r="B9" s="1">
        <v>3</v>
      </c>
      <c r="C9" s="1">
        <v>10</v>
      </c>
      <c r="D9" s="1">
        <v>10</v>
      </c>
      <c r="E9" s="1">
        <v>10</v>
      </c>
      <c r="F9" s="1">
        <v>10</v>
      </c>
      <c r="G9" s="1">
        <v>10</v>
      </c>
      <c r="H9" s="1">
        <v>10</v>
      </c>
      <c r="I9" s="1">
        <v>10</v>
      </c>
      <c r="J9" s="1" t="s">
        <v>31</v>
      </c>
      <c r="K9" s="1" t="s">
        <v>32</v>
      </c>
      <c r="L9" s="1">
        <v>5</v>
      </c>
      <c r="M9" s="1">
        <v>5</v>
      </c>
      <c r="N9" s="1">
        <v>4</v>
      </c>
      <c r="O9" s="1" t="s">
        <v>24</v>
      </c>
      <c r="P9" s="1" t="s">
        <v>23</v>
      </c>
      <c r="Q9" s="1" t="s">
        <v>25</v>
      </c>
      <c r="R9" s="1">
        <v>10</v>
      </c>
      <c r="S9" s="1" t="s">
        <v>33</v>
      </c>
      <c r="T9" s="1" t="s">
        <v>34</v>
      </c>
      <c r="U9" s="1">
        <v>5</v>
      </c>
      <c r="V9" s="1">
        <v>5</v>
      </c>
      <c r="W9" s="1" t="s">
        <v>35</v>
      </c>
    </row>
    <row r="10" spans="1:23" ht="14.4" x14ac:dyDescent="0.3">
      <c r="A10" s="2"/>
      <c r="B10" s="1">
        <v>4</v>
      </c>
      <c r="C10" s="1">
        <v>8</v>
      </c>
      <c r="D10" s="1">
        <v>8</v>
      </c>
      <c r="E10" s="1">
        <v>7</v>
      </c>
      <c r="F10" s="1">
        <v>9</v>
      </c>
      <c r="G10" s="1">
        <v>9</v>
      </c>
      <c r="H10" s="1">
        <v>8</v>
      </c>
      <c r="I10" s="1">
        <v>7</v>
      </c>
      <c r="J10" s="1" t="s">
        <v>36</v>
      </c>
      <c r="K10" s="1" t="s">
        <v>37</v>
      </c>
      <c r="L10" s="1">
        <v>4</v>
      </c>
      <c r="M10" s="1">
        <v>3</v>
      </c>
      <c r="N10" s="1">
        <v>2</v>
      </c>
      <c r="O10" s="1" t="s">
        <v>24</v>
      </c>
      <c r="P10" s="1" t="s">
        <v>23</v>
      </c>
      <c r="Q10" s="1" t="s">
        <v>25</v>
      </c>
      <c r="R10" s="1">
        <v>8</v>
      </c>
      <c r="S10" s="1" t="s">
        <v>38</v>
      </c>
      <c r="T10" s="1" t="s">
        <v>39</v>
      </c>
      <c r="U10" s="1">
        <v>5</v>
      </c>
      <c r="V10" s="1">
        <v>5</v>
      </c>
    </row>
    <row r="11" spans="1:23" ht="14.4" x14ac:dyDescent="0.3">
      <c r="A11" s="2"/>
      <c r="B11" s="1">
        <v>5</v>
      </c>
      <c r="C11" s="1">
        <v>8</v>
      </c>
      <c r="D11" s="1">
        <v>9</v>
      </c>
      <c r="E11" s="1">
        <v>7</v>
      </c>
      <c r="F11" s="1">
        <v>5</v>
      </c>
      <c r="G11" s="1">
        <v>8</v>
      </c>
      <c r="H11" s="1">
        <v>8</v>
      </c>
      <c r="I11" s="1">
        <v>9</v>
      </c>
      <c r="J11" s="1" t="s">
        <v>40</v>
      </c>
      <c r="K11" s="1" t="s">
        <v>41</v>
      </c>
      <c r="L11" s="1">
        <v>4</v>
      </c>
      <c r="M11" s="1">
        <v>4</v>
      </c>
      <c r="N11" s="1">
        <v>5</v>
      </c>
      <c r="O11" s="1" t="s">
        <v>23</v>
      </c>
      <c r="P11" s="1" t="s">
        <v>24</v>
      </c>
      <c r="Q11" s="1" t="s">
        <v>25</v>
      </c>
      <c r="R11" s="1">
        <v>10</v>
      </c>
      <c r="U11" s="1">
        <v>4</v>
      </c>
      <c r="V11" s="1">
        <v>5</v>
      </c>
    </row>
    <row r="12" spans="1:23" ht="14.4" x14ac:dyDescent="0.3">
      <c r="A12" s="2"/>
      <c r="B12" s="1">
        <v>6</v>
      </c>
      <c r="C12" s="1">
        <v>7</v>
      </c>
      <c r="D12" s="1">
        <v>9</v>
      </c>
      <c r="E12" s="1">
        <v>7</v>
      </c>
      <c r="F12" s="1">
        <v>3</v>
      </c>
      <c r="G12" s="1">
        <v>5</v>
      </c>
      <c r="H12" s="1">
        <v>5</v>
      </c>
      <c r="I12" s="1">
        <v>4</v>
      </c>
      <c r="J12" s="1" t="s">
        <v>42</v>
      </c>
      <c r="K12" s="1" t="s">
        <v>43</v>
      </c>
      <c r="L12" s="1">
        <v>2</v>
      </c>
      <c r="M12" s="1">
        <v>3</v>
      </c>
      <c r="N12" s="1">
        <v>5</v>
      </c>
      <c r="O12" s="1" t="s">
        <v>25</v>
      </c>
      <c r="P12" s="1" t="s">
        <v>23</v>
      </c>
      <c r="Q12" s="1" t="s">
        <v>24</v>
      </c>
      <c r="R12" s="1">
        <v>6</v>
      </c>
      <c r="U12" s="1">
        <v>5</v>
      </c>
      <c r="V12" s="1">
        <v>5</v>
      </c>
    </row>
    <row r="13" spans="1:23" ht="14.4" x14ac:dyDescent="0.3">
      <c r="A13" s="2"/>
      <c r="B13" s="1">
        <v>7</v>
      </c>
      <c r="C13" s="1">
        <v>8</v>
      </c>
      <c r="D13" s="1">
        <v>8</v>
      </c>
      <c r="E13" s="1">
        <v>9</v>
      </c>
      <c r="F13" s="1">
        <v>10</v>
      </c>
      <c r="G13" s="1">
        <v>6</v>
      </c>
      <c r="H13" s="1">
        <v>8</v>
      </c>
      <c r="I13" s="1">
        <v>8</v>
      </c>
      <c r="J13" s="1" t="s">
        <v>44</v>
      </c>
      <c r="K13" s="1" t="s">
        <v>45</v>
      </c>
      <c r="L13" s="1">
        <v>3</v>
      </c>
      <c r="M13" s="1">
        <v>3</v>
      </c>
      <c r="N13" s="1">
        <v>4</v>
      </c>
      <c r="O13" s="1" t="s">
        <v>24</v>
      </c>
      <c r="P13" s="1" t="s">
        <v>23</v>
      </c>
      <c r="Q13" s="1" t="s">
        <v>25</v>
      </c>
      <c r="R13" s="1">
        <v>10</v>
      </c>
      <c r="S13" s="1" t="s">
        <v>46</v>
      </c>
      <c r="T13" s="1" t="s">
        <v>47</v>
      </c>
      <c r="U13" s="1">
        <v>4</v>
      </c>
      <c r="V13" s="1">
        <v>4</v>
      </c>
      <c r="W13" s="1" t="s">
        <v>48</v>
      </c>
    </row>
    <row r="14" spans="1:23" ht="14.4" x14ac:dyDescent="0.3">
      <c r="A14" s="2"/>
      <c r="B14" s="1">
        <v>8</v>
      </c>
      <c r="C14" s="1">
        <v>9</v>
      </c>
      <c r="D14" s="1">
        <v>8</v>
      </c>
      <c r="E14" s="1">
        <v>8</v>
      </c>
      <c r="F14" s="1">
        <v>8</v>
      </c>
      <c r="G14" s="1">
        <v>8</v>
      </c>
      <c r="H14" s="1">
        <v>9</v>
      </c>
      <c r="I14" s="1">
        <v>9</v>
      </c>
      <c r="J14" s="1" t="s">
        <v>49</v>
      </c>
      <c r="K14" s="1" t="s">
        <v>50</v>
      </c>
      <c r="L14" s="1">
        <v>5</v>
      </c>
      <c r="M14" s="1">
        <v>5</v>
      </c>
      <c r="N14" s="1">
        <v>5</v>
      </c>
      <c r="O14" s="1" t="s">
        <v>24</v>
      </c>
      <c r="P14" s="1" t="s">
        <v>23</v>
      </c>
      <c r="Q14" s="1" t="s">
        <v>25</v>
      </c>
      <c r="R14" s="1">
        <v>10</v>
      </c>
      <c r="S14" s="1" t="s">
        <v>51</v>
      </c>
      <c r="U14" s="1">
        <v>5</v>
      </c>
      <c r="V14" s="1">
        <v>5</v>
      </c>
    </row>
    <row r="15" spans="1:23" ht="14.4" x14ac:dyDescent="0.3">
      <c r="A15" s="2"/>
      <c r="B15" s="1">
        <v>9</v>
      </c>
      <c r="C15" s="1">
        <v>7</v>
      </c>
      <c r="D15" s="1">
        <v>5</v>
      </c>
      <c r="E15" s="1">
        <v>7</v>
      </c>
      <c r="F15" s="1">
        <v>5</v>
      </c>
      <c r="G15" s="1">
        <v>5</v>
      </c>
      <c r="H15" s="1">
        <v>7</v>
      </c>
      <c r="I15" s="1">
        <v>5</v>
      </c>
      <c r="J15" s="1" t="s">
        <v>52</v>
      </c>
      <c r="K15" s="1" t="s">
        <v>53</v>
      </c>
      <c r="L15" s="1">
        <v>4</v>
      </c>
      <c r="M15" s="1">
        <v>4</v>
      </c>
      <c r="N15" s="1">
        <v>4</v>
      </c>
      <c r="O15" s="1" t="s">
        <v>23</v>
      </c>
      <c r="P15" s="1" t="s">
        <v>24</v>
      </c>
      <c r="Q15" s="1" t="s">
        <v>25</v>
      </c>
      <c r="R15" s="1">
        <v>7</v>
      </c>
      <c r="U15" s="1">
        <v>4</v>
      </c>
      <c r="V15" s="1">
        <v>5</v>
      </c>
    </row>
    <row r="17" spans="15:18" ht="15.75" customHeight="1" x14ac:dyDescent="0.3">
      <c r="O17">
        <f>3/9</f>
        <v>0.33333333333333331</v>
      </c>
      <c r="R17">
        <f>6/9 - 1/9</f>
        <v>0.55555555555555558</v>
      </c>
    </row>
    <row r="18" spans="15:18" ht="15.75" customHeight="1" x14ac:dyDescent="0.3">
      <c r="O18">
        <f>5/9</f>
        <v>0.55555555555555558</v>
      </c>
    </row>
    <row r="19" spans="15:18" ht="15.75" customHeight="1" x14ac:dyDescent="0.3">
      <c r="O19">
        <f>1/9</f>
        <v>0.1111111111111111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dc:creator>
  <cp:lastModifiedBy>Jose Joskowicz</cp:lastModifiedBy>
  <dcterms:created xsi:type="dcterms:W3CDTF">2024-06-06T14:48:18Z</dcterms:created>
  <dcterms:modified xsi:type="dcterms:W3CDTF">2026-01-28T00:09:32Z</dcterms:modified>
</cp:coreProperties>
</file>