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Jose\Publicaciones\2025 IEEE Latin America Transactions Virtual Reality\Lat Am Trans VR Revision 2\Datos y codigo\"/>
    </mc:Choice>
  </mc:AlternateContent>
  <xr:revisionPtr revIDLastSave="0" documentId="13_ncr:1_{850D908F-F1BC-4246-A960-FD590D6D9CDA}" xr6:coauthVersionLast="47" xr6:coauthVersionMax="47" xr10:uidLastSave="{00000000-0000-0000-0000-000000000000}"/>
  <bookViews>
    <workbookView xWindow="-108" yWindow="-108" windowWidth="23256" windowHeight="13896"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H3" i="1"/>
  <c r="G3" i="1"/>
  <c r="F3" i="1"/>
  <c r="E3" i="1"/>
  <c r="D3" i="1"/>
  <c r="C3" i="1"/>
  <c r="L19" i="1"/>
  <c r="L18" i="1"/>
  <c r="L17" i="1"/>
  <c r="R5" i="1"/>
  <c r="Q5" i="1"/>
  <c r="P5" i="1"/>
  <c r="O5" i="1"/>
  <c r="N5" i="1"/>
  <c r="M5" i="1"/>
  <c r="L5" i="1"/>
  <c r="K5" i="1"/>
  <c r="J5" i="1"/>
  <c r="I5" i="1"/>
  <c r="H5" i="1"/>
  <c r="G5" i="1"/>
  <c r="F5" i="1"/>
  <c r="E5" i="1"/>
  <c r="D5" i="1"/>
  <c r="R4" i="1"/>
  <c r="Q4" i="1"/>
  <c r="P4" i="1"/>
  <c r="O4" i="1"/>
  <c r="N4" i="1"/>
  <c r="M4" i="1"/>
  <c r="L4" i="1"/>
  <c r="K4" i="1"/>
  <c r="J4" i="1"/>
  <c r="I4" i="1"/>
  <c r="H4" i="1"/>
  <c r="G4" i="1"/>
  <c r="F4" i="1"/>
  <c r="E4" i="1"/>
  <c r="D4" i="1"/>
  <c r="Q2" i="1"/>
  <c r="P2" i="1"/>
  <c r="O2" i="1"/>
  <c r="I2" i="1"/>
  <c r="H2" i="1"/>
  <c r="G2" i="1"/>
  <c r="F2" i="1"/>
  <c r="E2" i="1"/>
  <c r="D2" i="1"/>
  <c r="C5" i="1"/>
  <c r="C4" i="1"/>
  <c r="C2" i="1"/>
</calcChain>
</file>

<file path=xl/sharedStrings.xml><?xml version="1.0" encoding="utf-8"?>
<sst xmlns="http://schemas.openxmlformats.org/spreadsheetml/2006/main" count="66" uniqueCount="45">
  <si>
    <t>Considerando globalmente las clases en las que participaste de Contabilidad en Sistemas Integrados de Gestión, ¿cuál es tu grado de satisfacción con la modalidad de cursado que te fue asignada para el proyecto de investigación?</t>
  </si>
  <si>
    <r>
      <t xml:space="preserve">La modalidad de cursado para las clases de Contabilidad en Sistemas Integrados de Gestión que me fue asignada </t>
    </r>
    <r>
      <rPr>
        <b/>
        <sz val="10"/>
        <color theme="1"/>
        <rFont val="Arial"/>
        <family val="2"/>
      </rPr>
      <t>contribuyó positivamente a mi proceso de aprendizaje.</t>
    </r>
  </si>
  <si>
    <r>
      <t xml:space="preserve">La modalidad de cursado para las clases de Contabilidad en Sistemas Integrados de Gestión que me fue asignada </t>
    </r>
    <r>
      <rPr>
        <b/>
        <sz val="10"/>
        <color theme="1"/>
        <rFont val="Arial"/>
        <family val="2"/>
      </rPr>
      <t>me mantuvo motivado para participar en las clases.</t>
    </r>
  </si>
  <si>
    <r>
      <t xml:space="preserve">La modalidad de cursado para las clases de Contabilidad en Sistemas Integrados de Gestión que me fue asignada </t>
    </r>
    <r>
      <rPr>
        <b/>
        <sz val="10"/>
        <color theme="1"/>
        <rFont val="Arial"/>
        <family val="2"/>
      </rPr>
      <t>contribuyó a que participara activamente durante las clases.</t>
    </r>
  </si>
  <si>
    <r>
      <t xml:space="preserve">La modalidad de cursado para las clases de Contabilidad en Sistemas Integrados de Gestión que me fue asignada </t>
    </r>
    <r>
      <rPr>
        <b/>
        <sz val="10"/>
        <color theme="1"/>
        <rFont val="Arial"/>
        <family val="2"/>
      </rPr>
      <t>facilitó el intercambio con mis compañeros de clase.</t>
    </r>
  </si>
  <si>
    <r>
      <t xml:space="preserve">La modalidad de cursado para las clases de Contabilidad en Sistemas Integrados de Gestión que me fue asignada </t>
    </r>
    <r>
      <rPr>
        <b/>
        <sz val="10"/>
        <color theme="1"/>
        <rFont val="Arial"/>
        <family val="2"/>
      </rPr>
      <t>facilitó el intercambio con las docentes.</t>
    </r>
  </si>
  <si>
    <r>
      <t xml:space="preserve">La modalidad de cursado para las clases de Contabilidad en Sistemas Integrados de Gestión que me fue asignada </t>
    </r>
    <r>
      <rPr>
        <b/>
        <sz val="10"/>
        <color theme="1"/>
        <rFont val="Arial"/>
        <family val="2"/>
      </rPr>
      <t>colmó mis expectativas en relación al curso.</t>
    </r>
  </si>
  <si>
    <r>
      <t xml:space="preserve">Nombra el principal aspecto </t>
    </r>
    <r>
      <rPr>
        <b/>
        <sz val="10"/>
        <color theme="1"/>
        <rFont val="Arial"/>
        <family val="2"/>
      </rPr>
      <t>positivo</t>
    </r>
    <r>
      <rPr>
        <sz val="10"/>
        <color theme="1"/>
        <rFont val="Arial"/>
        <family val="2"/>
      </rPr>
      <t xml:space="preserve"> que tuvo haber participado presencialmente en las clases dictadas en forma híbrida.  </t>
    </r>
  </si>
  <si>
    <r>
      <t xml:space="preserve">Nombra el principal aspecto </t>
    </r>
    <r>
      <rPr>
        <b/>
        <sz val="10"/>
        <color theme="1"/>
        <rFont val="Arial"/>
        <family val="2"/>
      </rPr>
      <t>negativo</t>
    </r>
    <r>
      <rPr>
        <sz val="10"/>
        <color theme="1"/>
        <rFont val="Arial"/>
        <family val="2"/>
      </rPr>
      <t xml:space="preserve"> que tuvo haber participado presencialmente en las clases dictadas en forma híbrida.  </t>
    </r>
  </si>
  <si>
    <t>Si pudieras elegir la modalidad de un curso futuro con contenido similar al de Contabilidad en Sistemas Integrados de Gestión, ¿en qué orden de prioridad elegirías las siguientes modalidades?  [Primera opción]</t>
  </si>
  <si>
    <t>Si pudieras elegir la modalidad de un curso futuro con contenido similar al de Contabilidad en Sistemas Integrados de Gestión, ¿en qué orden de prioridad elegirías las siguientes modalidades?  [Segunda opción]</t>
  </si>
  <si>
    <t>Si pudieras elegir la modalidad de un curso futuro con contenido similar al de Contabilidad en Sistemas Integrados de Gestión, ¿en qué orden de prioridad elegirías las siguientes modalidades?  [Tercera opción]</t>
  </si>
  <si>
    <t>Tomando como base tu experiencia, ¿qué tan probable es que recomiendes a un amigo tomar un curso participando  presencialmente en una clase híbrida?</t>
  </si>
  <si>
    <t xml:space="preserve">Califique globalmente la unidad curricular Contabilidad en Sistemas Integrados de Gestión en términos del contenido temático, la bibliografía recomendada y material de estudio disponible, la relevancia de la temática para la vida profesional, etc. </t>
  </si>
  <si>
    <t xml:space="preserve">Califique globalmente el desempeño del equipo docente la unidad curricular Contabilidad en Sistemas Integrados de Gestión </t>
  </si>
  <si>
    <t xml:space="preserve">En el siguiente espacio puedes incluir todo comentario adicional que consideres pertinente expresar para contribuir a la evaluación de la experiencia </t>
  </si>
  <si>
    <t>El intercambio con mis compañeros y el equipo docente</t>
  </si>
  <si>
    <t>Problemas tecnológicos</t>
  </si>
  <si>
    <t>Presencial</t>
  </si>
  <si>
    <t>Metaverso</t>
  </si>
  <si>
    <t>Zoom</t>
  </si>
  <si>
    <t xml:space="preserve">Considero que el horario de las 17 hs, puede no ser adecuado para los estudiantes avanzados, dada que la amplia mayoría a esa altura de la carrera trabajan, por lo cual, puede no ser estratégicamente bueno poner una clase presencial a esa hora. Yo al menos consideraría hacerla más tarde para lograr una mayor concurrencia presencial. Si se sigue realizando este tipo de investigación continua para comparar los distintos segmentos de estudiantes que participaron, me parecería más interesante aún, considerar las 14 semanas de curso, intercambiando las modalidades que le toca a cada subgrupo,  de 7 semanas y 7 semanas en distinta modalidad, para ver como varia la experiencia del metaverso. </t>
  </si>
  <si>
    <t>Mayor socialización y contacto directo con compañeros y docentes</t>
  </si>
  <si>
    <t>Ir presencial me insume más tiempo y requiere combinar los horarios con temas laborales y familiares</t>
  </si>
  <si>
    <t>Deberían existir más materias como ésta en nuestra Facultad, que nos acerquen a la tecnología y otorguen una capacitación más desarrollada para los futuros Contadores en el área de las TIC.</t>
  </si>
  <si>
    <t>El intercambio con profesores y alumnos.</t>
  </si>
  <si>
    <t>El tiempo de traslado a la facultad.</t>
  </si>
  <si>
    <t xml:space="preserve">La experiencia ha sido positiva, encarar la enseñanza en la facultad de diversas materias de forma no tradicional enriquece tanto a alumnos como a docentes. </t>
  </si>
  <si>
    <t xml:space="preserve">Poder interactuar de forma cercana con los compañeros y las profesoras </t>
  </si>
  <si>
    <t>No encuentro un aspecto negativo, quizás la falta de intercambio con los compañeros en el Zoom</t>
  </si>
  <si>
    <t>Me encuentro muy satisfecha con la manera de dictar las clases de las profesoras y me parece muy bueno el hecho de poder compartir y discutir entre todos las soluciones</t>
  </si>
  <si>
    <t>mi motivación en el curso y la puesta en común con compañeros y profesoras</t>
  </si>
  <si>
    <t>no tengo ningún aspecto negativo para mencionar</t>
  </si>
  <si>
    <t>Al ser un grupo reducido se puede interactuar más con los docentes y con los compañeros, participando en subgrupos o intercambiando con todos los compañeros del grupo. También es importante el desarrollo de casos prácticos en todas las clases incorporar conocimientos y reforzar otros.</t>
  </si>
  <si>
    <t>Lo negativo el tiempo de traslado para llegar a la facultad o a mi casa.</t>
  </si>
  <si>
    <t>La experiencia me pareció buena. Al tratarse de un grupo reducido se aprovecha más la clase. Me resultaría más atractivo si se incentivara más la participación de los compañeros que estaban vía Zoom, quiza depende más de ellos, pero para que fuera más enriquecedora la experiencia con sus aportes. Quizá apareciendo en pantalla como video conferencia e intercambiando con los compañeros que asistimos en forma presencial. El día que se suspendió la clase presencial y participamos de la clase por Zoom al subdividir en grupos para trabajar el caso, intercambiamos con compañeros de Zoom y estuvo bien. O puede ser también que se convoque a un grupo presencial con más personas ya que no fuimos tantos a clase.</t>
  </si>
  <si>
    <t xml:space="preserve">El intercambio con los compañeros y docentes </t>
  </si>
  <si>
    <t xml:space="preserve">El horario </t>
  </si>
  <si>
    <t xml:space="preserve">No perderme de ninguna clase. </t>
  </si>
  <si>
    <t xml:space="preserve">No tengo argumentos </t>
  </si>
  <si>
    <t>Max</t>
  </si>
  <si>
    <t>Min</t>
  </si>
  <si>
    <t>Desv Std</t>
  </si>
  <si>
    <t>Average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</si>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</sst>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0.0"/>
  </numFmts>
  <fonts count="5" x14ac:knownFonts="1">
    <font>
      <sz val="11"/>
      <color theme="1"/>
      <name val="Calibri"/>
      <family val="2"/>
      <scheme val="minor"/>
    </font>
    <font>
      <sz val="10"/>
      <color theme="1"/>
      <name val="Calibri"/>
      <family val="2"/>
      <scheme val="minor"/>
    </font>
    <font>
      <b/>
      <sz val="10"/>
      <color theme="1"/>
      <name val="Arial"/>
      <family val="2"/>
    </font>
    <font>
      <sz val="10"/>
      <color theme="1"/>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7">
    <xf numFmtId="0" fontId="0" fillId="0" borderId="0" xfId="0"/>
    <xf numFmtId="0" fontId="1" fillId="0" borderId="0" xfId="0" applyFont="1"/>
    <xf numFmtId="164" fontId="1" fillId="0" borderId="0" xfId="0" applyNumberFormat="1" applyFont="1"/>
    <xf numFmtId="0" fontId="1" fillId="0" borderId="0" xfId="0" applyFont="1" applyAlignment="1">
      <alignment wrapText="1"/>
    </xf>
    <xf numFmtId="0" fontId="0" fillId="0" borderId="0" xfId="0" applyAlignment="1">
      <alignment wrapText="1"/>
    </xf>
    <xf numFmtId="165" fontId="0" fillId="0" borderId="0" xfId="0" applyNumberFormat="1"/>
    <xf numFmtId="9" fontId="0" fillId="0" borderId="0" xfId="1"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
  <sheetViews>
    <sheetView tabSelected="1" topLeftCell="A4" workbookViewId="0">
      <selection activeCell="A7" sqref="A7"/>
    </sheetView>
  </sheetViews>
  <sheetFormatPr baseColWidth="10" defaultColWidth="12.5546875" defaultRowHeight="15.75" customHeight="1" x14ac:dyDescent="0.3"/>
  <cols>
    <col min="1" max="24" width="18.88671875" customWidth="1"/>
  </cols>
  <sheetData>
    <row r="1" spans="1:18" ht="15.75" customHeight="1" x14ac:dyDescent="0.3">
      <c r="C1">
        <v>1</v>
      </c>
      <c r="D1">
        <v>2</v>
      </c>
      <c r="E1">
        <v>3</v>
      </c>
      <c r="F1">
        <v>4</v>
      </c>
      <c r="G1">
        <v>5</v>
      </c>
      <c r="H1">
        <v>6</v>
      </c>
      <c r="I1">
        <v>7</v>
      </c>
      <c r="J1">
        <v>8</v>
      </c>
      <c r="K1">
        <v>9</v>
      </c>
      <c r="L1">
        <v>12</v>
      </c>
      <c r="M1">
        <v>12</v>
      </c>
      <c r="N1">
        <v>12</v>
      </c>
      <c r="O1">
        <v>13</v>
      </c>
      <c r="R1">
        <v>16</v>
      </c>
    </row>
    <row r="2" spans="1:18" ht="15.75" customHeight="1" x14ac:dyDescent="0.3">
      <c r="A2" t="s">
        <v>43</v>
      </c>
      <c r="C2" s="5">
        <f>AVERAGE(C7:C14)</f>
        <v>9.625</v>
      </c>
      <c r="D2" s="5">
        <f t="shared" ref="D2:R2" si="0">AVERAGE(D7:D14)</f>
        <v>9.625</v>
      </c>
      <c r="E2" s="5">
        <f t="shared" si="0"/>
        <v>9.5</v>
      </c>
      <c r="F2" s="5">
        <f t="shared" si="0"/>
        <v>9.25</v>
      </c>
      <c r="G2" s="5">
        <f t="shared" si="0"/>
        <v>9.75</v>
      </c>
      <c r="H2" s="5">
        <f t="shared" si="0"/>
        <v>9.75</v>
      </c>
      <c r="I2" s="5">
        <f t="shared" si="0"/>
        <v>9.625</v>
      </c>
      <c r="J2" s="5"/>
      <c r="K2" s="5"/>
      <c r="L2" s="5"/>
      <c r="M2" s="5"/>
      <c r="N2" s="5"/>
      <c r="O2" s="5">
        <f t="shared" si="0"/>
        <v>9.625</v>
      </c>
      <c r="P2" s="5">
        <f t="shared" si="0"/>
        <v>4.5</v>
      </c>
      <c r="Q2" s="5">
        <f t="shared" si="0"/>
        <v>4.875</v>
      </c>
      <c r="R2" s="5"/>
    </row>
    <row r="3" spans="1:18" ht="15.75" customHeight="1" x14ac:dyDescent="0.3">
      <c r="A3" t="s">
        <v>42</v>
      </c>
      <c r="C3" s="5">
        <f>_xlfn.STDEV.S(C7:C14)</f>
        <v>0.51754916950676566</v>
      </c>
      <c r="D3" s="5">
        <f t="shared" ref="D3:I3" si="1">_xlfn.STDEV.S(D7:D14)</f>
        <v>0.51754916950676566</v>
      </c>
      <c r="E3" s="5">
        <f t="shared" si="1"/>
        <v>0.7559289460184544</v>
      </c>
      <c r="F3" s="5">
        <f t="shared" si="1"/>
        <v>1.1649647450214351</v>
      </c>
      <c r="G3" s="5">
        <f t="shared" si="1"/>
        <v>0.46291004988627571</v>
      </c>
      <c r="H3" s="5">
        <f t="shared" si="1"/>
        <v>0.46291004988627571</v>
      </c>
      <c r="I3" s="5">
        <f t="shared" si="1"/>
        <v>0.74402380914284494</v>
      </c>
      <c r="J3" s="5"/>
      <c r="K3" s="5"/>
      <c r="L3" s="5"/>
      <c r="M3" s="5"/>
      <c r="N3" s="5"/>
      <c r="O3" s="5"/>
      <c r="P3" s="5"/>
      <c r="Q3" s="5"/>
      <c r="R3" s="5"/>
    </row>
    <row r="4" spans="1:18" ht="15.75" customHeight="1" x14ac:dyDescent="0.3">
      <c r="A4" t="s">
        <v>40</v>
      </c>
      <c r="C4">
        <f>MAX(C7:C14)</f>
        <v>10</v>
      </c>
      <c r="D4">
        <f t="shared" ref="D4:R4" si="2">MAX(D7:D14)</f>
        <v>10</v>
      </c>
      <c r="E4">
        <f t="shared" si="2"/>
        <v>10</v>
      </c>
      <c r="F4">
        <f t="shared" si="2"/>
        <v>10</v>
      </c>
      <c r="G4">
        <f t="shared" si="2"/>
        <v>10</v>
      </c>
      <c r="H4">
        <f t="shared" si="2"/>
        <v>10</v>
      </c>
      <c r="I4">
        <f t="shared" si="2"/>
        <v>10</v>
      </c>
      <c r="J4">
        <f t="shared" si="2"/>
        <v>0</v>
      </c>
      <c r="K4">
        <f t="shared" si="2"/>
        <v>0</v>
      </c>
      <c r="L4">
        <f t="shared" si="2"/>
        <v>0</v>
      </c>
      <c r="M4">
        <f t="shared" si="2"/>
        <v>0</v>
      </c>
      <c r="N4">
        <f t="shared" si="2"/>
        <v>0</v>
      </c>
      <c r="O4">
        <f t="shared" si="2"/>
        <v>10</v>
      </c>
      <c r="P4">
        <f t="shared" si="2"/>
        <v>5</v>
      </c>
      <c r="Q4">
        <f t="shared" si="2"/>
        <v>5</v>
      </c>
      <c r="R4">
        <f t="shared" si="2"/>
        <v>0</v>
      </c>
    </row>
    <row r="5" spans="1:18" ht="15.75" customHeight="1" x14ac:dyDescent="0.3">
      <c r="A5" t="s">
        <v>41</v>
      </c>
      <c r="C5">
        <f>MIN(C7:C14)</f>
        <v>9</v>
      </c>
      <c r="D5">
        <f t="shared" ref="D5:R5" si="3">MIN(D7:D14)</f>
        <v>9</v>
      </c>
      <c r="E5">
        <f t="shared" si="3"/>
        <v>8</v>
      </c>
      <c r="F5">
        <f t="shared" si="3"/>
        <v>7</v>
      </c>
      <c r="G5">
        <f t="shared" si="3"/>
        <v>9</v>
      </c>
      <c r="H5">
        <f t="shared" si="3"/>
        <v>9</v>
      </c>
      <c r="I5">
        <f t="shared" si="3"/>
        <v>8</v>
      </c>
      <c r="J5">
        <f t="shared" si="3"/>
        <v>0</v>
      </c>
      <c r="K5">
        <f t="shared" si="3"/>
        <v>0</v>
      </c>
      <c r="L5">
        <f t="shared" si="3"/>
        <v>0</v>
      </c>
      <c r="M5">
        <f t="shared" si="3"/>
        <v>0</v>
      </c>
      <c r="N5">
        <f t="shared" si="3"/>
        <v>0</v>
      </c>
      <c r="O5">
        <f t="shared" si="3"/>
        <v>9</v>
      </c>
      <c r="P5">
        <f t="shared" si="3"/>
        <v>4</v>
      </c>
      <c r="Q5">
        <f t="shared" si="3"/>
        <v>4</v>
      </c>
      <c r="R5">
        <f t="shared" si="3"/>
        <v>0</v>
      </c>
    </row>
    <row r="6" spans="1:18" s="4" customFormat="1" ht="193.2" x14ac:dyDescent="0.3">
      <c r="A6" s="3"/>
      <c r="B6" s="3" t="s">
        <v>44</v>
      </c>
      <c r="C6" s="3" t="s">
        <v>0</v>
      </c>
      <c r="D6" s="3" t="s">
        <v>1</v>
      </c>
      <c r="E6" s="3" t="s">
        <v>2</v>
      </c>
      <c r="F6" s="3" t="s">
        <v>3</v>
      </c>
      <c r="G6" s="3" t="s">
        <v>4</v>
      </c>
      <c r="H6" s="3" t="s">
        <v>5</v>
      </c>
      <c r="I6" s="3" t="s">
        <v>6</v>
      </c>
      <c r="J6" s="3" t="s">
        <v>7</v>
      </c>
      <c r="K6" s="3" t="s">
        <v>8</v>
      </c>
      <c r="L6" s="3" t="s">
        <v>9</v>
      </c>
      <c r="M6" s="3" t="s">
        <v>10</v>
      </c>
      <c r="N6" s="3" t="s">
        <v>11</v>
      </c>
      <c r="O6" s="3" t="s">
        <v>12</v>
      </c>
      <c r="P6" s="3" t="s">
        <v>13</v>
      </c>
      <c r="Q6" s="3" t="s">
        <v>14</v>
      </c>
      <c r="R6" s="3" t="s">
        <v>15</v>
      </c>
    </row>
    <row r="7" spans="1:18" ht="14.4" x14ac:dyDescent="0.3">
      <c r="A7" s="2"/>
      <c r="B7" s="1">
        <v>1</v>
      </c>
      <c r="C7" s="1">
        <v>10</v>
      </c>
      <c r="D7" s="1">
        <v>10</v>
      </c>
      <c r="E7" s="1">
        <v>10</v>
      </c>
      <c r="F7" s="1">
        <v>10</v>
      </c>
      <c r="G7" s="1">
        <v>10</v>
      </c>
      <c r="H7" s="1">
        <v>10</v>
      </c>
      <c r="I7" s="1">
        <v>10</v>
      </c>
      <c r="J7" s="1" t="s">
        <v>16</v>
      </c>
      <c r="K7" s="1" t="s">
        <v>17</v>
      </c>
      <c r="L7" s="1" t="s">
        <v>18</v>
      </c>
      <c r="M7" s="1" t="s">
        <v>19</v>
      </c>
      <c r="N7" s="1" t="s">
        <v>20</v>
      </c>
      <c r="O7" s="1">
        <v>9</v>
      </c>
      <c r="P7" s="1">
        <v>4</v>
      </c>
      <c r="Q7" s="1">
        <v>5</v>
      </c>
      <c r="R7" s="1" t="s">
        <v>21</v>
      </c>
    </row>
    <row r="8" spans="1:18" ht="14.4" x14ac:dyDescent="0.3">
      <c r="A8" s="2"/>
      <c r="B8" s="1">
        <v>2</v>
      </c>
      <c r="C8" s="1">
        <v>9</v>
      </c>
      <c r="D8" s="1">
        <v>9</v>
      </c>
      <c r="E8" s="1">
        <v>10</v>
      </c>
      <c r="F8" s="1">
        <v>10</v>
      </c>
      <c r="G8" s="1">
        <v>10</v>
      </c>
      <c r="H8" s="1">
        <v>10</v>
      </c>
      <c r="I8" s="1">
        <v>10</v>
      </c>
      <c r="J8" s="1" t="s">
        <v>22</v>
      </c>
      <c r="K8" s="1" t="s">
        <v>23</v>
      </c>
      <c r="L8" s="1" t="s">
        <v>20</v>
      </c>
      <c r="M8" s="1" t="s">
        <v>19</v>
      </c>
      <c r="N8" s="1" t="s">
        <v>18</v>
      </c>
      <c r="O8" s="1">
        <v>10</v>
      </c>
      <c r="P8" s="1">
        <v>5</v>
      </c>
      <c r="Q8" s="1">
        <v>5</v>
      </c>
      <c r="R8" s="1" t="s">
        <v>24</v>
      </c>
    </row>
    <row r="9" spans="1:18" ht="14.4" x14ac:dyDescent="0.3">
      <c r="A9" s="2"/>
      <c r="B9" s="1">
        <v>3</v>
      </c>
      <c r="C9" s="1">
        <v>9</v>
      </c>
      <c r="D9" s="1">
        <v>9</v>
      </c>
      <c r="E9" s="1">
        <v>8</v>
      </c>
      <c r="F9" s="1">
        <v>8</v>
      </c>
      <c r="G9" s="1">
        <v>9</v>
      </c>
      <c r="H9" s="1">
        <v>9</v>
      </c>
      <c r="I9" s="1">
        <v>8</v>
      </c>
      <c r="J9" s="1" t="s">
        <v>25</v>
      </c>
      <c r="K9" s="1" t="s">
        <v>26</v>
      </c>
      <c r="L9" s="1" t="s">
        <v>19</v>
      </c>
      <c r="M9" s="1" t="s">
        <v>20</v>
      </c>
      <c r="N9" s="1" t="s">
        <v>18</v>
      </c>
      <c r="O9" s="1">
        <v>9</v>
      </c>
      <c r="P9" s="1">
        <v>4</v>
      </c>
      <c r="Q9" s="1">
        <v>5</v>
      </c>
      <c r="R9" s="1" t="s">
        <v>27</v>
      </c>
    </row>
    <row r="10" spans="1:18" ht="14.4" x14ac:dyDescent="0.3">
      <c r="A10" s="2"/>
      <c r="B10" s="1">
        <v>4</v>
      </c>
      <c r="C10" s="1">
        <v>10</v>
      </c>
      <c r="D10" s="1">
        <v>10</v>
      </c>
      <c r="E10" s="1">
        <v>10</v>
      </c>
      <c r="F10" s="1">
        <v>10</v>
      </c>
      <c r="G10" s="1">
        <v>10</v>
      </c>
      <c r="H10" s="1">
        <v>10</v>
      </c>
      <c r="I10" s="1">
        <v>10</v>
      </c>
      <c r="J10" s="1" t="s">
        <v>28</v>
      </c>
      <c r="K10" s="1" t="s">
        <v>29</v>
      </c>
      <c r="L10" s="1" t="s">
        <v>18</v>
      </c>
      <c r="M10" s="1" t="s">
        <v>20</v>
      </c>
      <c r="N10" s="1" t="s">
        <v>19</v>
      </c>
      <c r="O10" s="1">
        <v>10</v>
      </c>
      <c r="P10" s="1">
        <v>4</v>
      </c>
      <c r="Q10" s="1">
        <v>5</v>
      </c>
      <c r="R10" s="1" t="s">
        <v>30</v>
      </c>
    </row>
    <row r="11" spans="1:18" ht="14.4" x14ac:dyDescent="0.3">
      <c r="A11" s="2"/>
      <c r="B11" s="1">
        <v>5</v>
      </c>
      <c r="C11" s="1">
        <v>10</v>
      </c>
      <c r="D11" s="1">
        <v>10</v>
      </c>
      <c r="E11" s="1">
        <v>9</v>
      </c>
      <c r="F11" s="1">
        <v>7</v>
      </c>
      <c r="G11" s="1">
        <v>10</v>
      </c>
      <c r="H11" s="1">
        <v>10</v>
      </c>
      <c r="I11" s="1">
        <v>10</v>
      </c>
      <c r="J11" s="1" t="s">
        <v>31</v>
      </c>
      <c r="K11" s="1" t="s">
        <v>32</v>
      </c>
      <c r="L11" s="1" t="s">
        <v>18</v>
      </c>
      <c r="M11" s="1" t="s">
        <v>19</v>
      </c>
      <c r="N11" s="1" t="s">
        <v>20</v>
      </c>
      <c r="O11" s="1">
        <v>10</v>
      </c>
      <c r="P11" s="1">
        <v>5</v>
      </c>
      <c r="Q11" s="1">
        <v>5</v>
      </c>
    </row>
    <row r="12" spans="1:18" ht="14.4" x14ac:dyDescent="0.3">
      <c r="A12" s="2"/>
      <c r="B12" s="1">
        <v>6</v>
      </c>
      <c r="C12" s="1">
        <v>10</v>
      </c>
      <c r="D12" s="1">
        <v>10</v>
      </c>
      <c r="E12" s="1">
        <v>10</v>
      </c>
      <c r="F12" s="1">
        <v>10</v>
      </c>
      <c r="G12" s="1">
        <v>10</v>
      </c>
      <c r="H12" s="1">
        <v>10</v>
      </c>
      <c r="I12" s="1">
        <v>10</v>
      </c>
      <c r="J12" s="1" t="s">
        <v>33</v>
      </c>
      <c r="K12" s="1" t="s">
        <v>34</v>
      </c>
      <c r="L12" s="1" t="s">
        <v>18</v>
      </c>
      <c r="M12" s="1" t="s">
        <v>19</v>
      </c>
      <c r="N12" s="1" t="s">
        <v>20</v>
      </c>
      <c r="O12" s="1">
        <v>10</v>
      </c>
      <c r="P12" s="1">
        <v>5</v>
      </c>
      <c r="Q12" s="1">
        <v>5</v>
      </c>
      <c r="R12" s="1" t="s">
        <v>35</v>
      </c>
    </row>
    <row r="13" spans="1:18" ht="14.4" x14ac:dyDescent="0.3">
      <c r="A13" s="2"/>
      <c r="B13" s="1">
        <v>7</v>
      </c>
      <c r="C13" s="1">
        <v>10</v>
      </c>
      <c r="D13" s="1">
        <v>10</v>
      </c>
      <c r="E13" s="1">
        <v>10</v>
      </c>
      <c r="F13" s="1">
        <v>10</v>
      </c>
      <c r="G13" s="1">
        <v>10</v>
      </c>
      <c r="H13" s="1">
        <v>10</v>
      </c>
      <c r="I13" s="1">
        <v>10</v>
      </c>
      <c r="J13" s="1" t="s">
        <v>36</v>
      </c>
      <c r="K13" s="1" t="s">
        <v>37</v>
      </c>
      <c r="L13" s="1" t="s">
        <v>18</v>
      </c>
      <c r="M13" s="1" t="s">
        <v>20</v>
      </c>
      <c r="N13" s="1" t="s">
        <v>19</v>
      </c>
      <c r="O13" s="1">
        <v>10</v>
      </c>
      <c r="P13" s="1">
        <v>5</v>
      </c>
      <c r="Q13" s="1">
        <v>5</v>
      </c>
    </row>
    <row r="14" spans="1:18" ht="14.4" x14ac:dyDescent="0.3">
      <c r="A14" s="2"/>
      <c r="B14" s="1">
        <v>8</v>
      </c>
      <c r="C14" s="1">
        <v>9</v>
      </c>
      <c r="D14" s="1">
        <v>9</v>
      </c>
      <c r="E14" s="1">
        <v>9</v>
      </c>
      <c r="F14" s="1">
        <v>9</v>
      </c>
      <c r="G14" s="1">
        <v>9</v>
      </c>
      <c r="H14" s="1">
        <v>9</v>
      </c>
      <c r="I14" s="1">
        <v>9</v>
      </c>
      <c r="J14" s="1" t="s">
        <v>38</v>
      </c>
      <c r="K14" s="1" t="s">
        <v>39</v>
      </c>
      <c r="L14" s="1" t="s">
        <v>18</v>
      </c>
      <c r="M14" s="1" t="s">
        <v>20</v>
      </c>
      <c r="N14" s="1" t="s">
        <v>20</v>
      </c>
      <c r="O14" s="1">
        <v>9</v>
      </c>
      <c r="P14" s="1">
        <v>4</v>
      </c>
      <c r="Q14" s="1">
        <v>4</v>
      </c>
    </row>
    <row r="17" spans="12:12" ht="15.75" customHeight="1" x14ac:dyDescent="0.3">
      <c r="L17" s="6">
        <f>1/8</f>
        <v>0.125</v>
      </c>
    </row>
    <row r="18" spans="12:12" ht="15.75" customHeight="1" x14ac:dyDescent="0.3">
      <c r="L18" s="6">
        <f>1/8</f>
        <v>0.125</v>
      </c>
    </row>
    <row r="19" spans="12:12" ht="15.75" customHeight="1" x14ac:dyDescent="0.3">
      <c r="L19" s="6">
        <f>6/8</f>
        <v>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Ines</dc:creator>
  <cp:lastModifiedBy>Jose Joskowicz</cp:lastModifiedBy>
  <dcterms:created xsi:type="dcterms:W3CDTF">2024-06-06T14:45:09Z</dcterms:created>
  <dcterms:modified xsi:type="dcterms:W3CDTF">2026-01-28T00:05:43Z</dcterms:modified>
</cp:coreProperties>
</file>