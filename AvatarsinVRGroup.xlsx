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Jose\Publicaciones\2025 IEEE Latin America Transactions Virtual Reality\Lat Am Trans VR Revision 2\Datos y codigo\"/>
    </mc:Choice>
  </mc:AlternateContent>
  <xr:revisionPtr revIDLastSave="0" documentId="13_ncr:1_{9AF18E64-4853-4DEC-BAE3-46018623784F}" xr6:coauthVersionLast="47" xr6:coauthVersionMax="47" xr10:uidLastSave="{00000000-0000-0000-0000-000000000000}"/>
  <bookViews>
    <workbookView xWindow="-108" yWindow="-108" windowWidth="23256" windowHeight="13896"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 i="1" l="1"/>
  <c r="U5" i="1"/>
  <c r="T5" i="1"/>
  <c r="S5" i="1"/>
  <c r="R5" i="1"/>
  <c r="Q5" i="1"/>
  <c r="P5" i="1"/>
  <c r="O5" i="1"/>
  <c r="N5" i="1"/>
  <c r="M5" i="1"/>
  <c r="L5" i="1"/>
  <c r="K5" i="1"/>
  <c r="J5" i="1"/>
  <c r="I5" i="1"/>
  <c r="H5" i="1"/>
  <c r="G5" i="1"/>
  <c r="F5" i="1"/>
  <c r="E5" i="1"/>
  <c r="D5" i="1"/>
  <c r="V4" i="1"/>
  <c r="U4" i="1"/>
  <c r="T4" i="1"/>
  <c r="S4" i="1"/>
  <c r="R4" i="1"/>
  <c r="Q4" i="1"/>
  <c r="P4" i="1"/>
  <c r="O4" i="1"/>
  <c r="N4" i="1"/>
  <c r="M4" i="1"/>
  <c r="L4" i="1"/>
  <c r="K4" i="1"/>
  <c r="J4" i="1"/>
  <c r="I4" i="1"/>
  <c r="H4" i="1"/>
  <c r="G4" i="1"/>
  <c r="F4" i="1"/>
  <c r="E4" i="1"/>
  <c r="D4" i="1"/>
  <c r="U3" i="1"/>
  <c r="T3" i="1"/>
  <c r="Q3" i="1"/>
  <c r="M3" i="1"/>
  <c r="L3" i="1"/>
  <c r="I3" i="1"/>
  <c r="H3" i="1"/>
  <c r="G3" i="1"/>
  <c r="F3" i="1"/>
  <c r="E3" i="1"/>
  <c r="D3" i="1"/>
  <c r="U2" i="1"/>
  <c r="T2" i="1"/>
  <c r="Q2" i="1"/>
  <c r="M2" i="1"/>
  <c r="L2" i="1"/>
  <c r="I2" i="1"/>
  <c r="H2" i="1"/>
  <c r="G2" i="1"/>
  <c r="F2" i="1"/>
  <c r="E2" i="1"/>
  <c r="D2" i="1"/>
  <c r="C5" i="1"/>
  <c r="C4" i="1"/>
  <c r="C3" i="1"/>
  <c r="C2" i="1"/>
</calcChain>
</file>

<file path=xl/sharedStrings.xml><?xml version="1.0" encoding="utf-8"?>
<sst xmlns="http://schemas.openxmlformats.org/spreadsheetml/2006/main" count="117" uniqueCount="80">
  <si>
    <t>Considerando globalmente las clases en las que participaste de Contabilidad en Sistemas Integrados de Gestión, ¿cuál es tu grado de satisfacción con la modalidad de cursado que te fue asignada para el proyecto de investigación?</t>
  </si>
  <si>
    <r>
      <t xml:space="preserve">La modalidad de cursado para las clases de Contabilidad en Sistemas Integrados de Gestión que me fue asignada </t>
    </r>
    <r>
      <rPr>
        <b/>
        <sz val="10"/>
        <color theme="1"/>
        <rFont val="Arial"/>
        <family val="2"/>
      </rPr>
      <t>contribuyó positivamente a mi proceso de aprendizaje.</t>
    </r>
  </si>
  <si>
    <r>
      <t xml:space="preserve">La modalidad de cursado para las clases de Contabilidad en Sistemas Integrados de Gestión que me fue asignada </t>
    </r>
    <r>
      <rPr>
        <b/>
        <sz val="10"/>
        <color theme="1"/>
        <rFont val="Arial"/>
        <family val="2"/>
      </rPr>
      <t>me mantuvo motivado para participar en las clases.</t>
    </r>
  </si>
  <si>
    <r>
      <t xml:space="preserve">La modalidad de cursado para las clases de Contabilidad en Sistemas Integrados de Gestión que me fue asignada </t>
    </r>
    <r>
      <rPr>
        <b/>
        <sz val="10"/>
        <color theme="1"/>
        <rFont val="Arial"/>
        <family val="2"/>
      </rPr>
      <t>contribuyó a que participara activamente durante las clases.</t>
    </r>
  </si>
  <si>
    <r>
      <t xml:space="preserve">La modalidad de cursado para las clases de Contabilidad en Sistemas Integrados de Gestión que me fue asignada </t>
    </r>
    <r>
      <rPr>
        <b/>
        <sz val="10"/>
        <color theme="1"/>
        <rFont val="Arial"/>
        <family val="2"/>
      </rPr>
      <t>facilitó el intercambio con mis compañeros de clase.</t>
    </r>
  </si>
  <si>
    <r>
      <t xml:space="preserve">La modalidad de cursado para las clases de Contabilidad en Sistemas Integrados de Gestión que me fue asignada </t>
    </r>
    <r>
      <rPr>
        <b/>
        <sz val="10"/>
        <color theme="1"/>
        <rFont val="Arial"/>
        <family val="2"/>
      </rPr>
      <t>facilitó el intercambio con las docentes.</t>
    </r>
  </si>
  <si>
    <r>
      <t xml:space="preserve">La modalidad de cursado para las clases de Contabilidad en Sistemas Integrados de Gestión que me fue asignada </t>
    </r>
    <r>
      <rPr>
        <b/>
        <sz val="10"/>
        <color theme="1"/>
        <rFont val="Arial"/>
        <family val="2"/>
      </rPr>
      <t>colmó mis expectativas en relación al curso.</t>
    </r>
  </si>
  <si>
    <r>
      <t xml:space="preserve">Nombra el principal aspecto </t>
    </r>
    <r>
      <rPr>
        <b/>
        <sz val="10"/>
        <color theme="1"/>
        <rFont val="Arial"/>
        <family val="2"/>
      </rPr>
      <t>positivo</t>
    </r>
    <r>
      <rPr>
        <sz val="10"/>
        <color theme="1"/>
        <rFont val="Arial"/>
        <family val="2"/>
      </rPr>
      <t xml:space="preserve"> que tuvo haber participado de las clases ingresando a un aula en el metaverso.  </t>
    </r>
  </si>
  <si>
    <r>
      <t xml:space="preserve">Nombra el principal aspecto </t>
    </r>
    <r>
      <rPr>
        <b/>
        <sz val="10"/>
        <color theme="1"/>
        <rFont val="Arial"/>
        <family val="2"/>
      </rPr>
      <t>negativo</t>
    </r>
    <r>
      <rPr>
        <sz val="10"/>
        <color theme="1"/>
        <rFont val="Arial"/>
        <family val="2"/>
      </rPr>
      <t xml:space="preserve"> que tuvo haber participado de las clases ingresando a un aula en el metaverso.  </t>
    </r>
  </si>
  <si>
    <t>Al finalizar la experiencia, ¿cómo calificarías la facilidad de uso de la tecnología de realidad virtual? (uso de controles, forma de interacción con el mundo virtual, entre otros)</t>
  </si>
  <si>
    <t>En general, mi percepción del uso de la tecnología de realidad virtual para un curso de este tipo es:</t>
  </si>
  <si>
    <t>Si pudieras elegir la modalidad de un curso futuro con contenido similar al de Contabilidad en Sistemas Integrados de Gestión, ¿en qué orden de prioridad elegirías las siguientes modalidades?  [Primera opción]</t>
  </si>
  <si>
    <t>Si pudieras elegir la modalidad de un curso futuro con contenido similar al de Contabilidad en Sistemas Integrados de Gestión, ¿en qué orden de prioridad elegirías las siguientes modalidades?  [Segunda opción]</t>
  </si>
  <si>
    <t>Si pudieras elegir la modalidad de un curso futuro con contenido similar al de Contabilidad en Sistemas Integrados de Gestión, ¿en qué orden de prioridad elegirías las siguientes modalidades?  [Tercera opción]</t>
  </si>
  <si>
    <t>Tomando como base tu experiencia, ¿qué tan probable es que recomiendes a un amigo tomar un curso en realidad virtual?</t>
  </si>
  <si>
    <t>¿Qué sugerencias realizarías a los docentes para el dictado de futuros cursos con esta tecnología?</t>
  </si>
  <si>
    <t xml:space="preserve">¿Qué funciones agregarías a la sala virtual? </t>
  </si>
  <si>
    <t xml:space="preserve">Califique globalmente la unidad curricular Contabilidad en Sistemas Integrados de Gestión en términos del contenido temático, la bibliografía recomendada y material de estudio disponible, la relevancia de la temática para la vida profesional, etc. </t>
  </si>
  <si>
    <t xml:space="preserve">Califique globalmente el desempeño del equipo docente la unidad curricular Contabilidad en Sistemas Integrados de Gestión </t>
  </si>
  <si>
    <t xml:space="preserve">En el siguiente espacio puedes incluir todo comentario adicional que consideres pertinente expresar para contribuir a la evaluación de la experiencia </t>
  </si>
  <si>
    <t>Hubo un aumento significativo en la interacción entre compañeros y docentes si lo comparamos con las clases presenciales</t>
  </si>
  <si>
    <t>Ninguno</t>
  </si>
  <si>
    <t>Metaverso</t>
  </si>
  <si>
    <t>Teams/Zoom</t>
  </si>
  <si>
    <t>Presencial</t>
  </si>
  <si>
    <t>Desde mi punto de vista esta modalidad debería seguirse implementando en la FCEA ya que fue una experiencia muy enriquecedora. Aumentó significativamente la interacción entre compañeros y docentes en comparación con la presencialidad, al ser una experiencia diferente a la que estamos acostumbrados nos vimos más motivados a participar de las clases en forma activa.</t>
  </si>
  <si>
    <t>Agregaría la función de tomar apuntes durante las clases, si bien en el metaverso había un lápiz y tablet para escribir, no era individual, todo lo que anotabas se mostraba en el pizarrón.</t>
  </si>
  <si>
    <t>Estoy muy contenta de haber participado de esta experiencia en la FCEA, es algo que siempre recordaré.</t>
  </si>
  <si>
    <t>Interacción con los demás</t>
  </si>
  <si>
    <t>En la mayoría de las clases me sucedió que me dolia la cabeza luego de usar el casco.</t>
  </si>
  <si>
    <t>Super conforme con la experiencia y el equipo docente.</t>
  </si>
  <si>
    <t>La participación era natural, como en clase.</t>
  </si>
  <si>
    <t>Las fallas técnicas que producían nervios y/o distracción</t>
  </si>
  <si>
    <t>Realmente no me doy cuenta</t>
  </si>
  <si>
    <t>Motiva la participación y la interacción de los estudiantes.</t>
  </si>
  <si>
    <t xml:space="preserve">No poder ver los materiales (letras de ejercicios etc.) en ese momento </t>
  </si>
  <si>
    <t>que cada estudiante pueda tener acceso a los materiales (letras de ejercicios, material teórico, etc.) que serán utilizados en la clase</t>
  </si>
  <si>
    <t>Fue una experiencia nueva y buena</t>
  </si>
  <si>
    <t xml:space="preserve">Respecto a nivel aprendizaje me parece no contribuyó, es como para hablar simplemente, a nivel de conferencias o intercambios informales,  no se puede sacar apuntes, no podes tener material a mano, en muchas clases se perdió más tiempo en esperar que todos estuviéramos conectados y en que los cascos no fallaran que en lo que duraba la clase </t>
  </si>
  <si>
    <t xml:space="preserve">Me parece muy útil la materia, pero no el dictado en Metaverso, siento que hubo muchas complicaciones/inconvenientes en cada clase respecto a dicha tecnología. Igualmente me parece bueno el tema de innovar y buscar otras opciones de enseñanza. Gracias por la dejarme ser parte y poder dar mi aporte como estudiante </t>
  </si>
  <si>
    <t xml:space="preserve">La Modalidad de cursado mediante los lentes de realidad virtual permitian que uno estuviera presente en la clase y no hubiera distracciones </t>
  </si>
  <si>
    <t>No poder tener acceso a los materiales vistos en clase para luego profundizar, ya que en el momento no podiamos sacar apuntes.</t>
  </si>
  <si>
    <t>La experiencia de ingreso al metaverso en si mismo y la posibilidad de interactuar de otra forma</t>
  </si>
  <si>
    <t>Lo único negativo fue perder la conexión por momentos</t>
  </si>
  <si>
    <t>Quizás que tengan algún documento que puedan compartir luego, ya que no se pueden sacar apuntes (por el momento)</t>
  </si>
  <si>
    <t>La posibilidad de sacar apuntes de clase</t>
  </si>
  <si>
    <t xml:space="preserve">El fluido intercambio por la sensación de real cercanía   </t>
  </si>
  <si>
    <t xml:space="preserve">No poder escribir ni leer en clase sobre mi propio material </t>
  </si>
  <si>
    <t xml:space="preserve">Conectarse con mas anticipación al inicio de la clase para chequear que todos los participantes puedan ingresar a la misma, y así poder comenzar todos a tiempo   </t>
  </si>
  <si>
    <t xml:space="preserve">Poder escribir </t>
  </si>
  <si>
    <t xml:space="preserve">Agradecer haber sido parte de tan valiosa experiencia. Muy conforme con el equipo, la atención y las herramientas que nos acercan y recomiendan.  </t>
  </si>
  <si>
    <t>Es como estar presencial. Me gusto la interaccion que surge.</t>
  </si>
  <si>
    <t>La imposibilidad de sacar apunte.</t>
  </si>
  <si>
    <t>Porder implementar un sistema para sacar apuntes.</t>
  </si>
  <si>
    <t>sacar apuntes o transcribir las clases.</t>
  </si>
  <si>
    <t>Tuve una linda experiencia ya que en el mertaverso es un espacio virtual donde se puede interactuar, crear, aprender y divertirse,.</t>
  </si>
  <si>
    <t>La motivación que generó tanto en los estudiantes como en los docentes.</t>
  </si>
  <si>
    <t>Que la utilización de los lentes de realidad virtual genera algunos malestares como dolores de cabez y mareos.</t>
  </si>
  <si>
    <t>La principal sugerencia sería el poder compartir pantalla y que se pueda habilitar la opcion para integrar nuestras computadoras así podemos sacar apuntes</t>
  </si>
  <si>
    <t>La de vincular nuestras computadoras con la que nos figura en el metaverso</t>
  </si>
  <si>
    <t>Agradecer a todo el equipo docente, se vió la entrega y motivación tanto por el proyecto como por la materia en general. Encantada de haber podido participar en esta hermosa experiencia.</t>
  </si>
  <si>
    <t>Las interacciones e intercambios</t>
  </si>
  <si>
    <t>No poder ver los apuntes propios</t>
  </si>
  <si>
    <t>Poder de alguna forma visualizar la computadora personal para ver y sacar apuntes</t>
  </si>
  <si>
    <t>En general muy buena la experiencia y ojala se implementara a futuro con mayor regularidad</t>
  </si>
  <si>
    <t xml:space="preserve">Se sentía como un salón real en el que somos 10-15 personas y no solo tenes que participar por estar presente sino que es mucho más fácil la interacción e inmediatamente </t>
  </si>
  <si>
    <t>Que los lentes son pesados, que uno se cansa de usarlo y del brillo y dolores de cabeza</t>
  </si>
  <si>
    <t xml:space="preserve">Que las clases en metaverso sirvan para hacer más tareas en grupo y no solo participación en clase ya que eso motiva mucho </t>
  </si>
  <si>
    <t xml:space="preserve">No se me ocurre ninguna mejora porque la verdad la experiencia es muy buena </t>
  </si>
  <si>
    <t xml:space="preserve">Que estaría bueno para otras materias más de grupo </t>
  </si>
  <si>
    <t xml:space="preserve">Fue divertido, novedoso, dinámico </t>
  </si>
  <si>
    <t>Me sentía expuesta</t>
  </si>
  <si>
    <t xml:space="preserve">Si van a combinar ambas modalidades, realidad virtual con teams que sea también dinámico con el exterior ya que casi no participaban. Las docentes fueron muy claras y  hacían muy llevadera la clase. </t>
  </si>
  <si>
    <t xml:space="preserve">Poder tomar apuntes en el metarverso, ya que eso permite seguir mejor la clase. Poder escribir con facilidad. Mejorar la visualización en la pantalla, a veces se veía chica la letra. Poder trabajar en grupos en el metarverso. </t>
  </si>
  <si>
    <t xml:space="preserve">La verdad les estoy agradecida, fue muy lindo participar del proyecto. Me sentí acompañada y apoyada por el equipo docente, en facultad eso es difícil. Todo el equipo muy atento a lo que nos pasara, si había algún inconveniente, fue más personal la clase y eso es muy positivo para mí. </t>
  </si>
  <si>
    <t>Average</t>
  </si>
  <si>
    <t>Desv Standard</t>
  </si>
  <si>
    <t>Max</t>
  </si>
  <si>
    <t>Min</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</si>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</sst>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m/d/yyyy\ h:mm:ss"/>
    <numFmt numFmtId="165" formatCode="_-* #,##0.0_-;\-* #,##0.0_-;_-* &quot;-&quot;??_-;_-@_-"/>
  </numFmts>
  <fonts count="5" x14ac:knownFonts="1">
    <font>
      <sz val="11"/>
      <color theme="1"/>
      <name val="Calibri"/>
      <family val="2"/>
      <scheme val="minor"/>
    </font>
    <font>
      <sz val="10"/>
      <color theme="1"/>
      <name val="Calibri"/>
      <family val="2"/>
      <scheme val="minor"/>
    </font>
    <font>
      <b/>
      <sz val="10"/>
      <color theme="1"/>
      <name val="Arial"/>
      <family val="2"/>
    </font>
    <font>
      <sz val="10"/>
      <color theme="1"/>
      <name val="Arial"/>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4" fillId="0" borderId="0" applyFont="0" applyFill="0" applyBorder="0" applyAlignment="0" applyProtection="0"/>
  </cellStyleXfs>
  <cellXfs count="6">
    <xf numFmtId="0" fontId="0" fillId="0" borderId="0" xfId="0"/>
    <xf numFmtId="0" fontId="1" fillId="0" borderId="0" xfId="0" applyFont="1"/>
    <xf numFmtId="164" fontId="1" fillId="0" borderId="0" xfId="0" applyNumberFormat="1" applyFont="1"/>
    <xf numFmtId="0" fontId="1" fillId="0" borderId="0" xfId="0" applyFont="1" applyAlignment="1">
      <alignment wrapText="1"/>
    </xf>
    <xf numFmtId="0" fontId="0" fillId="0" borderId="0" xfId="0" applyAlignment="1">
      <alignment wrapText="1"/>
    </xf>
    <xf numFmtId="165" fontId="0" fillId="0" borderId="0" xfId="1" applyNumberFormat="1" applyFont="1"/>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
  <sheetViews>
    <sheetView tabSelected="1" topLeftCell="A6" workbookViewId="0">
      <selection activeCell="B7" sqref="B7"/>
    </sheetView>
  </sheetViews>
  <sheetFormatPr baseColWidth="10" defaultColWidth="12.5546875" defaultRowHeight="15.75" customHeight="1" x14ac:dyDescent="0.3"/>
  <cols>
    <col min="1" max="28" width="18.88671875" customWidth="1"/>
  </cols>
  <sheetData>
    <row r="1" spans="1:23" ht="15.75" customHeight="1" x14ac:dyDescent="0.3">
      <c r="C1">
        <v>1</v>
      </c>
      <c r="D1">
        <v>2</v>
      </c>
      <c r="E1">
        <v>3</v>
      </c>
      <c r="F1">
        <v>4</v>
      </c>
      <c r="G1">
        <v>5</v>
      </c>
      <c r="H1">
        <v>6</v>
      </c>
      <c r="I1">
        <v>7</v>
      </c>
      <c r="J1">
        <v>8</v>
      </c>
      <c r="K1">
        <v>9</v>
      </c>
      <c r="L1">
        <v>10</v>
      </c>
      <c r="M1">
        <v>11</v>
      </c>
      <c r="N1">
        <v>12</v>
      </c>
      <c r="O1">
        <v>12</v>
      </c>
      <c r="P1">
        <v>12</v>
      </c>
      <c r="Q1">
        <v>13</v>
      </c>
      <c r="R1">
        <v>14</v>
      </c>
      <c r="S1">
        <v>15</v>
      </c>
      <c r="V1">
        <v>16</v>
      </c>
    </row>
    <row r="2" spans="1:23" ht="15.75" customHeight="1" x14ac:dyDescent="0.3">
      <c r="B2" t="s">
        <v>75</v>
      </c>
      <c r="C2" s="5">
        <f>AVERAGE(C7:C19)</f>
        <v>8.615384615384615</v>
      </c>
      <c r="D2" s="5">
        <f t="shared" ref="D2:U2" si="0">AVERAGE(D7:D19)</f>
        <v>8.5384615384615383</v>
      </c>
      <c r="E2" s="5">
        <f t="shared" si="0"/>
        <v>8.7692307692307701</v>
      </c>
      <c r="F2" s="5">
        <f t="shared" si="0"/>
        <v>7.7692307692307692</v>
      </c>
      <c r="G2" s="5">
        <f t="shared" si="0"/>
        <v>8.5384615384615383</v>
      </c>
      <c r="H2" s="5">
        <f t="shared" si="0"/>
        <v>8.7692307692307701</v>
      </c>
      <c r="I2" s="5">
        <f t="shared" si="0"/>
        <v>8.5384615384615383</v>
      </c>
      <c r="J2" s="5"/>
      <c r="K2" s="5"/>
      <c r="L2" s="5">
        <f t="shared" si="0"/>
        <v>4.7692307692307692</v>
      </c>
      <c r="M2" s="5">
        <f t="shared" si="0"/>
        <v>4.1538461538461542</v>
      </c>
      <c r="N2" s="5"/>
      <c r="O2" s="5"/>
      <c r="P2" s="5"/>
      <c r="Q2" s="5">
        <f t="shared" si="0"/>
        <v>8.6923076923076916</v>
      </c>
      <c r="R2" s="5"/>
      <c r="S2" s="5"/>
      <c r="T2" s="5">
        <f t="shared" si="0"/>
        <v>4.4615384615384617</v>
      </c>
      <c r="U2" s="5">
        <f t="shared" si="0"/>
        <v>4.7692307692307692</v>
      </c>
      <c r="V2" s="5"/>
      <c r="W2" s="5"/>
    </row>
    <row r="3" spans="1:23" ht="15.75" customHeight="1" x14ac:dyDescent="0.3">
      <c r="B3" t="s">
        <v>76</v>
      </c>
      <c r="C3" s="5">
        <f>_xlfn.STDEV.S(C7:C19)</f>
        <v>1.4455945454184556</v>
      </c>
      <c r="D3" s="5">
        <f t="shared" ref="D3:U3" si="1">_xlfn.STDEV.S(D7:D19)</f>
        <v>1.6132464481796038</v>
      </c>
      <c r="E3" s="5">
        <f t="shared" si="1"/>
        <v>2.0064000163579103</v>
      </c>
      <c r="F3" s="5">
        <f t="shared" si="1"/>
        <v>2.8911890908369098</v>
      </c>
      <c r="G3" s="5">
        <f t="shared" si="1"/>
        <v>2.6017745423519645</v>
      </c>
      <c r="H3" s="5">
        <f t="shared" si="1"/>
        <v>2.4884347876341244</v>
      </c>
      <c r="I3" s="5">
        <f t="shared" si="1"/>
        <v>2.4019223070763078</v>
      </c>
      <c r="J3" s="5"/>
      <c r="K3" s="5"/>
      <c r="L3" s="5">
        <f t="shared" si="1"/>
        <v>0.4385290096535146</v>
      </c>
      <c r="M3" s="5">
        <f t="shared" si="1"/>
        <v>0.89871703427291649</v>
      </c>
      <c r="N3" s="5"/>
      <c r="O3" s="5"/>
      <c r="P3" s="5"/>
      <c r="Q3" s="5">
        <f t="shared" si="1"/>
        <v>1.8878830906871749</v>
      </c>
      <c r="R3" s="5"/>
      <c r="S3" s="5"/>
      <c r="T3" s="5">
        <f t="shared" si="1"/>
        <v>0.66022529177352451</v>
      </c>
      <c r="U3" s="5">
        <f t="shared" si="1"/>
        <v>0.4385290096535146</v>
      </c>
      <c r="V3" s="5"/>
      <c r="W3" s="5"/>
    </row>
    <row r="4" spans="1:23" ht="15.75" customHeight="1" x14ac:dyDescent="0.3">
      <c r="B4" t="s">
        <v>77</v>
      </c>
      <c r="C4">
        <f>MAX(C7:C19)</f>
        <v>10</v>
      </c>
      <c r="D4">
        <f t="shared" ref="D4:V4" si="2">MAX(D7:D19)</f>
        <v>10</v>
      </c>
      <c r="E4">
        <f t="shared" si="2"/>
        <v>10</v>
      </c>
      <c r="F4">
        <f t="shared" si="2"/>
        <v>10</v>
      </c>
      <c r="G4">
        <f t="shared" si="2"/>
        <v>10</v>
      </c>
      <c r="H4">
        <f t="shared" si="2"/>
        <v>10</v>
      </c>
      <c r="I4">
        <f t="shared" si="2"/>
        <v>10</v>
      </c>
      <c r="J4">
        <f t="shared" si="2"/>
        <v>0</v>
      </c>
      <c r="K4">
        <f t="shared" si="2"/>
        <v>0</v>
      </c>
      <c r="L4">
        <f t="shared" si="2"/>
        <v>5</v>
      </c>
      <c r="M4">
        <f t="shared" si="2"/>
        <v>5</v>
      </c>
      <c r="N4">
        <f t="shared" si="2"/>
        <v>0</v>
      </c>
      <c r="O4">
        <f t="shared" si="2"/>
        <v>0</v>
      </c>
      <c r="P4">
        <f t="shared" si="2"/>
        <v>0</v>
      </c>
      <c r="Q4">
        <f t="shared" si="2"/>
        <v>10</v>
      </c>
      <c r="R4">
        <f t="shared" si="2"/>
        <v>0</v>
      </c>
      <c r="S4">
        <f t="shared" si="2"/>
        <v>0</v>
      </c>
      <c r="T4">
        <f t="shared" si="2"/>
        <v>5</v>
      </c>
      <c r="U4">
        <f t="shared" si="2"/>
        <v>5</v>
      </c>
      <c r="V4">
        <f t="shared" si="2"/>
        <v>0</v>
      </c>
    </row>
    <row r="5" spans="1:23" ht="15.75" customHeight="1" x14ac:dyDescent="0.3">
      <c r="B5" t="s">
        <v>78</v>
      </c>
      <c r="C5">
        <f>MIN(C7:C19)</f>
        <v>5</v>
      </c>
      <c r="D5">
        <f t="shared" ref="D5:V5" si="3">MIN(D7:D19)</f>
        <v>4</v>
      </c>
      <c r="E5">
        <f t="shared" si="3"/>
        <v>4</v>
      </c>
      <c r="F5">
        <f t="shared" si="3"/>
        <v>1</v>
      </c>
      <c r="G5">
        <f t="shared" si="3"/>
        <v>1</v>
      </c>
      <c r="H5">
        <f t="shared" si="3"/>
        <v>1</v>
      </c>
      <c r="I5">
        <f t="shared" si="3"/>
        <v>1</v>
      </c>
      <c r="J5">
        <f t="shared" si="3"/>
        <v>0</v>
      </c>
      <c r="K5">
        <f t="shared" si="3"/>
        <v>0</v>
      </c>
      <c r="L5">
        <f t="shared" si="3"/>
        <v>4</v>
      </c>
      <c r="M5">
        <f t="shared" si="3"/>
        <v>2</v>
      </c>
      <c r="N5">
        <f t="shared" si="3"/>
        <v>0</v>
      </c>
      <c r="O5">
        <f t="shared" si="3"/>
        <v>0</v>
      </c>
      <c r="P5">
        <f t="shared" si="3"/>
        <v>0</v>
      </c>
      <c r="Q5">
        <f t="shared" si="3"/>
        <v>3</v>
      </c>
      <c r="R5">
        <f t="shared" si="3"/>
        <v>0</v>
      </c>
      <c r="S5">
        <f t="shared" si="3"/>
        <v>0</v>
      </c>
      <c r="T5">
        <f t="shared" si="3"/>
        <v>3</v>
      </c>
      <c r="U5">
        <f t="shared" si="3"/>
        <v>4</v>
      </c>
      <c r="V5">
        <f t="shared" si="3"/>
        <v>0</v>
      </c>
    </row>
    <row r="6" spans="1:23" s="4" customFormat="1" ht="193.2" x14ac:dyDescent="0.3">
      <c r="A6" s="3"/>
      <c r="B6" s="3" t="s">
        <v>79</v>
      </c>
      <c r="C6" s="3" t="s">
        <v>0</v>
      </c>
      <c r="D6" s="3" t="s">
        <v>1</v>
      </c>
      <c r="E6" s="3" t="s">
        <v>2</v>
      </c>
      <c r="F6" s="3" t="s">
        <v>3</v>
      </c>
      <c r="G6" s="3" t="s">
        <v>4</v>
      </c>
      <c r="H6" s="3" t="s">
        <v>5</v>
      </c>
      <c r="I6" s="3" t="s">
        <v>6</v>
      </c>
      <c r="J6" s="3" t="s">
        <v>7</v>
      </c>
      <c r="K6" s="3" t="s">
        <v>8</v>
      </c>
      <c r="L6" s="3" t="s">
        <v>9</v>
      </c>
      <c r="M6" s="3" t="s">
        <v>10</v>
      </c>
      <c r="N6" s="3" t="s">
        <v>11</v>
      </c>
      <c r="O6" s="3" t="s">
        <v>12</v>
      </c>
      <c r="P6" s="3" t="s">
        <v>13</v>
      </c>
      <c r="Q6" s="3" t="s">
        <v>14</v>
      </c>
      <c r="R6" s="3" t="s">
        <v>15</v>
      </c>
      <c r="S6" s="3" t="s">
        <v>16</v>
      </c>
      <c r="T6" s="3" t="s">
        <v>17</v>
      </c>
      <c r="U6" s="3" t="s">
        <v>18</v>
      </c>
      <c r="V6" s="3" t="s">
        <v>19</v>
      </c>
    </row>
    <row r="7" spans="1:23" ht="14.4" x14ac:dyDescent="0.3">
      <c r="A7" s="2"/>
      <c r="B7" s="1">
        <v>1</v>
      </c>
      <c r="C7" s="1">
        <v>10</v>
      </c>
      <c r="D7" s="1">
        <v>10</v>
      </c>
      <c r="E7" s="1">
        <v>10</v>
      </c>
      <c r="F7" s="1">
        <v>10</v>
      </c>
      <c r="G7" s="1">
        <v>10</v>
      </c>
      <c r="H7" s="1">
        <v>10</v>
      </c>
      <c r="I7" s="1">
        <v>10</v>
      </c>
      <c r="J7" s="1" t="s">
        <v>20</v>
      </c>
      <c r="K7" s="1" t="s">
        <v>21</v>
      </c>
      <c r="L7" s="1">
        <v>5</v>
      </c>
      <c r="M7" s="1">
        <v>5</v>
      </c>
      <c r="N7" s="1" t="s">
        <v>22</v>
      </c>
      <c r="O7" s="1" t="s">
        <v>23</v>
      </c>
      <c r="P7" s="1" t="s">
        <v>24</v>
      </c>
      <c r="Q7" s="1">
        <v>10</v>
      </c>
      <c r="R7" s="1" t="s">
        <v>25</v>
      </c>
      <c r="S7" s="1" t="s">
        <v>26</v>
      </c>
      <c r="T7" s="1">
        <v>5</v>
      </c>
      <c r="U7" s="1">
        <v>5</v>
      </c>
      <c r="V7" s="1" t="s">
        <v>27</v>
      </c>
    </row>
    <row r="8" spans="1:23" ht="14.4" x14ac:dyDescent="0.3">
      <c r="A8" s="2"/>
      <c r="B8" s="1">
        <v>2</v>
      </c>
      <c r="C8" s="1">
        <v>8</v>
      </c>
      <c r="D8" s="1">
        <v>8</v>
      </c>
      <c r="E8" s="1">
        <v>8</v>
      </c>
      <c r="F8" s="1">
        <v>7</v>
      </c>
      <c r="G8" s="1">
        <v>8</v>
      </c>
      <c r="H8" s="1">
        <v>9</v>
      </c>
      <c r="I8" s="1">
        <v>8</v>
      </c>
      <c r="J8" s="1" t="s">
        <v>28</v>
      </c>
      <c r="K8" s="1" t="s">
        <v>29</v>
      </c>
      <c r="L8" s="1">
        <v>5</v>
      </c>
      <c r="M8" s="1">
        <v>4</v>
      </c>
      <c r="N8" s="1" t="s">
        <v>23</v>
      </c>
      <c r="O8" s="1" t="s">
        <v>22</v>
      </c>
      <c r="P8" s="1" t="s">
        <v>24</v>
      </c>
      <c r="Q8" s="1">
        <v>10</v>
      </c>
      <c r="T8" s="1">
        <v>4</v>
      </c>
      <c r="U8" s="1">
        <v>5</v>
      </c>
      <c r="V8" s="1" t="s">
        <v>30</v>
      </c>
    </row>
    <row r="9" spans="1:23" ht="14.4" x14ac:dyDescent="0.3">
      <c r="A9" s="2"/>
      <c r="B9" s="1">
        <v>3</v>
      </c>
      <c r="C9" s="1">
        <v>7</v>
      </c>
      <c r="D9" s="1">
        <v>8</v>
      </c>
      <c r="E9" s="1">
        <v>4</v>
      </c>
      <c r="F9" s="1">
        <v>3</v>
      </c>
      <c r="G9" s="1">
        <v>6</v>
      </c>
      <c r="H9" s="1">
        <v>7</v>
      </c>
      <c r="I9" s="1">
        <v>9</v>
      </c>
      <c r="J9" s="1" t="s">
        <v>31</v>
      </c>
      <c r="K9" s="1" t="s">
        <v>32</v>
      </c>
      <c r="L9" s="1">
        <v>5</v>
      </c>
      <c r="M9" s="1">
        <v>3</v>
      </c>
      <c r="N9" s="1" t="s">
        <v>23</v>
      </c>
      <c r="O9" s="1" t="s">
        <v>22</v>
      </c>
      <c r="P9" s="1" t="s">
        <v>24</v>
      </c>
      <c r="Q9" s="1">
        <v>9</v>
      </c>
      <c r="R9" s="1" t="s">
        <v>21</v>
      </c>
      <c r="S9" s="1" t="s">
        <v>33</v>
      </c>
      <c r="T9" s="1">
        <v>5</v>
      </c>
      <c r="U9" s="1">
        <v>5</v>
      </c>
    </row>
    <row r="10" spans="1:23" ht="14.4" x14ac:dyDescent="0.3">
      <c r="A10" s="2"/>
      <c r="B10" s="1">
        <v>4</v>
      </c>
      <c r="C10" s="1">
        <v>9</v>
      </c>
      <c r="D10" s="1">
        <v>9</v>
      </c>
      <c r="E10" s="1">
        <v>9</v>
      </c>
      <c r="F10" s="1">
        <v>9</v>
      </c>
      <c r="G10" s="1">
        <v>10</v>
      </c>
      <c r="H10" s="1">
        <v>9</v>
      </c>
      <c r="I10" s="1">
        <v>9</v>
      </c>
      <c r="J10" s="1" t="s">
        <v>34</v>
      </c>
      <c r="K10" s="1" t="s">
        <v>35</v>
      </c>
      <c r="L10" s="1">
        <v>4</v>
      </c>
      <c r="M10" s="1">
        <v>4</v>
      </c>
      <c r="N10" s="1" t="s">
        <v>23</v>
      </c>
      <c r="O10" s="1" t="s">
        <v>22</v>
      </c>
      <c r="P10" s="1" t="s">
        <v>24</v>
      </c>
      <c r="Q10" s="1">
        <v>9</v>
      </c>
      <c r="S10" s="1" t="s">
        <v>36</v>
      </c>
      <c r="T10" s="1">
        <v>4</v>
      </c>
      <c r="U10" s="1">
        <v>5</v>
      </c>
    </row>
    <row r="11" spans="1:23" ht="14.4" x14ac:dyDescent="0.3">
      <c r="A11" s="2"/>
      <c r="B11" s="1">
        <v>5</v>
      </c>
      <c r="C11" s="1">
        <v>5</v>
      </c>
      <c r="D11" s="1">
        <v>4</v>
      </c>
      <c r="E11" s="1">
        <v>5</v>
      </c>
      <c r="F11" s="1">
        <v>1</v>
      </c>
      <c r="G11" s="1">
        <v>1</v>
      </c>
      <c r="H11" s="1">
        <v>1</v>
      </c>
      <c r="I11" s="1">
        <v>1</v>
      </c>
      <c r="J11" s="1" t="s">
        <v>37</v>
      </c>
      <c r="K11" s="1" t="s">
        <v>38</v>
      </c>
      <c r="L11" s="1">
        <v>5</v>
      </c>
      <c r="M11" s="1">
        <v>2</v>
      </c>
      <c r="N11" s="1" t="s">
        <v>23</v>
      </c>
      <c r="O11" s="1" t="s">
        <v>24</v>
      </c>
      <c r="P11" s="1" t="s">
        <v>22</v>
      </c>
      <c r="Q11" s="1">
        <v>3</v>
      </c>
      <c r="T11" s="1">
        <v>5</v>
      </c>
      <c r="U11" s="1">
        <v>5</v>
      </c>
      <c r="V11" s="1" t="s">
        <v>39</v>
      </c>
    </row>
    <row r="12" spans="1:23" ht="14.4" x14ac:dyDescent="0.3">
      <c r="A12" s="2"/>
      <c r="B12" s="1">
        <v>6</v>
      </c>
      <c r="C12" s="1">
        <v>10</v>
      </c>
      <c r="D12" s="1">
        <v>10</v>
      </c>
      <c r="E12" s="1">
        <v>10</v>
      </c>
      <c r="F12" s="1">
        <v>10</v>
      </c>
      <c r="G12" s="1">
        <v>10</v>
      </c>
      <c r="H12" s="1">
        <v>10</v>
      </c>
      <c r="I12" s="1">
        <v>8</v>
      </c>
      <c r="J12" s="1" t="s">
        <v>40</v>
      </c>
      <c r="K12" s="1" t="s">
        <v>41</v>
      </c>
      <c r="L12" s="1">
        <v>5</v>
      </c>
      <c r="M12" s="1">
        <v>4</v>
      </c>
      <c r="N12" s="1" t="s">
        <v>22</v>
      </c>
      <c r="O12" s="1" t="s">
        <v>23</v>
      </c>
      <c r="P12" s="1" t="s">
        <v>24</v>
      </c>
      <c r="Q12" s="1">
        <v>10</v>
      </c>
      <c r="T12" s="1">
        <v>3</v>
      </c>
      <c r="U12" s="1">
        <v>4</v>
      </c>
    </row>
    <row r="13" spans="1:23" ht="14.4" x14ac:dyDescent="0.3">
      <c r="A13" s="2"/>
      <c r="B13" s="1">
        <v>7</v>
      </c>
      <c r="C13" s="1">
        <v>9</v>
      </c>
      <c r="D13" s="1">
        <v>9</v>
      </c>
      <c r="E13" s="1">
        <v>10</v>
      </c>
      <c r="F13" s="1">
        <v>8</v>
      </c>
      <c r="G13" s="1">
        <v>8</v>
      </c>
      <c r="H13" s="1">
        <v>9</v>
      </c>
      <c r="I13" s="1">
        <v>9</v>
      </c>
      <c r="J13" s="1" t="s">
        <v>42</v>
      </c>
      <c r="K13" s="1" t="s">
        <v>43</v>
      </c>
      <c r="L13" s="1">
        <v>5</v>
      </c>
      <c r="M13" s="1">
        <v>5</v>
      </c>
      <c r="N13" s="1" t="s">
        <v>22</v>
      </c>
      <c r="O13" s="1" t="s">
        <v>24</v>
      </c>
      <c r="P13" s="1" t="s">
        <v>23</v>
      </c>
      <c r="Q13" s="1">
        <v>9</v>
      </c>
      <c r="R13" s="1" t="s">
        <v>44</v>
      </c>
      <c r="S13" s="1" t="s">
        <v>45</v>
      </c>
      <c r="T13" s="1">
        <v>4</v>
      </c>
      <c r="U13" s="1">
        <v>5</v>
      </c>
    </row>
    <row r="14" spans="1:23" ht="14.4" x14ac:dyDescent="0.3">
      <c r="A14" s="2"/>
      <c r="B14" s="1">
        <v>8</v>
      </c>
      <c r="C14" s="1">
        <v>10</v>
      </c>
      <c r="D14" s="1">
        <v>9</v>
      </c>
      <c r="E14" s="1">
        <v>10</v>
      </c>
      <c r="F14" s="1">
        <v>9</v>
      </c>
      <c r="G14" s="1">
        <v>10</v>
      </c>
      <c r="H14" s="1">
        <v>10</v>
      </c>
      <c r="I14" s="1">
        <v>10</v>
      </c>
      <c r="J14" s="1" t="s">
        <v>46</v>
      </c>
      <c r="K14" s="1" t="s">
        <v>47</v>
      </c>
      <c r="L14" s="1">
        <v>4</v>
      </c>
      <c r="M14" s="1">
        <v>4</v>
      </c>
      <c r="N14" s="1" t="s">
        <v>22</v>
      </c>
      <c r="O14" s="1" t="s">
        <v>23</v>
      </c>
      <c r="P14" s="1" t="s">
        <v>24</v>
      </c>
      <c r="Q14" s="1">
        <v>9</v>
      </c>
      <c r="R14" s="1" t="s">
        <v>48</v>
      </c>
      <c r="S14" s="1" t="s">
        <v>49</v>
      </c>
      <c r="T14" s="1">
        <v>5</v>
      </c>
      <c r="U14" s="1">
        <v>5</v>
      </c>
      <c r="V14" s="1" t="s">
        <v>50</v>
      </c>
    </row>
    <row r="15" spans="1:23" ht="14.4" x14ac:dyDescent="0.3">
      <c r="A15" s="2"/>
      <c r="B15" s="1">
        <v>9</v>
      </c>
      <c r="C15" s="1">
        <v>9</v>
      </c>
      <c r="D15" s="1">
        <v>10</v>
      </c>
      <c r="E15" s="1">
        <v>10</v>
      </c>
      <c r="F15" s="1">
        <v>10</v>
      </c>
      <c r="G15" s="1">
        <v>10</v>
      </c>
      <c r="H15" s="1">
        <v>10</v>
      </c>
      <c r="I15" s="1">
        <v>10</v>
      </c>
      <c r="J15" s="1" t="s">
        <v>51</v>
      </c>
      <c r="K15" s="1" t="s">
        <v>52</v>
      </c>
      <c r="L15" s="1">
        <v>5</v>
      </c>
      <c r="M15" s="1">
        <v>5</v>
      </c>
      <c r="N15" s="1" t="s">
        <v>22</v>
      </c>
      <c r="O15" s="1" t="s">
        <v>23</v>
      </c>
      <c r="P15" s="1" t="s">
        <v>24</v>
      </c>
      <c r="Q15" s="1">
        <v>10</v>
      </c>
      <c r="R15" s="1" t="s">
        <v>53</v>
      </c>
      <c r="S15" s="1" t="s">
        <v>54</v>
      </c>
      <c r="T15" s="1">
        <v>5</v>
      </c>
      <c r="U15" s="1">
        <v>5</v>
      </c>
      <c r="V15" s="1" t="s">
        <v>55</v>
      </c>
    </row>
    <row r="16" spans="1:23" ht="14.4" x14ac:dyDescent="0.3">
      <c r="A16" s="2"/>
      <c r="B16" s="1">
        <v>10</v>
      </c>
      <c r="C16" s="1">
        <v>10</v>
      </c>
      <c r="D16" s="1">
        <v>10</v>
      </c>
      <c r="E16" s="1">
        <v>10</v>
      </c>
      <c r="F16" s="1">
        <v>10</v>
      </c>
      <c r="G16" s="1">
        <v>10</v>
      </c>
      <c r="H16" s="1">
        <v>10</v>
      </c>
      <c r="I16" s="1">
        <v>10</v>
      </c>
      <c r="J16" s="1" t="s">
        <v>56</v>
      </c>
      <c r="K16" s="1" t="s">
        <v>57</v>
      </c>
      <c r="L16" s="1">
        <v>5</v>
      </c>
      <c r="M16" s="1">
        <v>5</v>
      </c>
      <c r="N16" s="1" t="s">
        <v>24</v>
      </c>
      <c r="O16" s="1" t="s">
        <v>22</v>
      </c>
      <c r="P16" s="1" t="s">
        <v>23</v>
      </c>
      <c r="Q16" s="1">
        <v>10</v>
      </c>
      <c r="R16" s="1" t="s">
        <v>58</v>
      </c>
      <c r="S16" s="1" t="s">
        <v>59</v>
      </c>
      <c r="T16" s="1">
        <v>5</v>
      </c>
      <c r="U16" s="1">
        <v>5</v>
      </c>
      <c r="V16" s="1" t="s">
        <v>60</v>
      </c>
    </row>
    <row r="17" spans="1:22" ht="14.4" x14ac:dyDescent="0.3">
      <c r="A17" s="2"/>
      <c r="B17" s="1">
        <v>11</v>
      </c>
      <c r="C17" s="1">
        <v>8</v>
      </c>
      <c r="D17" s="1">
        <v>8</v>
      </c>
      <c r="E17" s="1">
        <v>9</v>
      </c>
      <c r="F17" s="1">
        <v>8</v>
      </c>
      <c r="G17" s="1">
        <v>10</v>
      </c>
      <c r="H17" s="1">
        <v>10</v>
      </c>
      <c r="I17" s="1">
        <v>9</v>
      </c>
      <c r="J17" s="1" t="s">
        <v>61</v>
      </c>
      <c r="K17" s="1" t="s">
        <v>62</v>
      </c>
      <c r="L17" s="1">
        <v>5</v>
      </c>
      <c r="M17" s="1">
        <v>5</v>
      </c>
      <c r="N17" s="1" t="s">
        <v>23</v>
      </c>
      <c r="O17" s="1" t="s">
        <v>22</v>
      </c>
      <c r="P17" s="1" t="s">
        <v>24</v>
      </c>
      <c r="Q17" s="1">
        <v>8</v>
      </c>
      <c r="S17" s="1" t="s">
        <v>63</v>
      </c>
      <c r="T17" s="1">
        <v>4</v>
      </c>
      <c r="U17" s="1">
        <v>4</v>
      </c>
      <c r="V17" s="1" t="s">
        <v>64</v>
      </c>
    </row>
    <row r="18" spans="1:22" ht="14.4" x14ac:dyDescent="0.3">
      <c r="A18" s="2"/>
      <c r="B18" s="1">
        <v>12</v>
      </c>
      <c r="C18" s="1">
        <v>8</v>
      </c>
      <c r="D18" s="1">
        <v>8</v>
      </c>
      <c r="E18" s="1">
        <v>10</v>
      </c>
      <c r="F18" s="1">
        <v>10</v>
      </c>
      <c r="G18" s="1">
        <v>10</v>
      </c>
      <c r="H18" s="1">
        <v>10</v>
      </c>
      <c r="I18" s="1">
        <v>8</v>
      </c>
      <c r="J18" s="1" t="s">
        <v>65</v>
      </c>
      <c r="K18" s="1" t="s">
        <v>66</v>
      </c>
      <c r="L18" s="1">
        <v>5</v>
      </c>
      <c r="M18" s="1">
        <v>4</v>
      </c>
      <c r="N18" s="1" t="s">
        <v>22</v>
      </c>
      <c r="O18" s="1" t="s">
        <v>24</v>
      </c>
      <c r="P18" s="1" t="s">
        <v>23</v>
      </c>
      <c r="Q18" s="1">
        <v>8</v>
      </c>
      <c r="R18" s="1" t="s">
        <v>67</v>
      </c>
      <c r="S18" s="1" t="s">
        <v>68</v>
      </c>
      <c r="T18" s="1">
        <v>5</v>
      </c>
      <c r="U18" s="1">
        <v>4</v>
      </c>
      <c r="V18" s="1" t="s">
        <v>69</v>
      </c>
    </row>
    <row r="19" spans="1:22" ht="14.4" x14ac:dyDescent="0.3">
      <c r="A19" s="2"/>
      <c r="B19" s="1">
        <v>13</v>
      </c>
      <c r="C19" s="1">
        <v>9</v>
      </c>
      <c r="D19" s="1">
        <v>8</v>
      </c>
      <c r="E19" s="1">
        <v>9</v>
      </c>
      <c r="F19" s="1">
        <v>6</v>
      </c>
      <c r="G19" s="1">
        <v>8</v>
      </c>
      <c r="H19" s="1">
        <v>9</v>
      </c>
      <c r="I19" s="1">
        <v>10</v>
      </c>
      <c r="J19" s="1" t="s">
        <v>70</v>
      </c>
      <c r="K19" s="1" t="s">
        <v>71</v>
      </c>
      <c r="L19" s="1">
        <v>4</v>
      </c>
      <c r="M19" s="1">
        <v>4</v>
      </c>
      <c r="N19" s="1" t="s">
        <v>23</v>
      </c>
      <c r="O19" s="1" t="s">
        <v>22</v>
      </c>
      <c r="P19" s="1" t="s">
        <v>24</v>
      </c>
      <c r="Q19" s="1">
        <v>8</v>
      </c>
      <c r="R19" s="1" t="s">
        <v>72</v>
      </c>
      <c r="S19" s="1" t="s">
        <v>73</v>
      </c>
      <c r="T19" s="1">
        <v>4</v>
      </c>
      <c r="U19" s="1">
        <v>5</v>
      </c>
      <c r="V19" s="1"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Ines</dc:creator>
  <cp:lastModifiedBy>Jose Joskowicz</cp:lastModifiedBy>
  <dcterms:created xsi:type="dcterms:W3CDTF">2024-06-06T14:41:21Z</dcterms:created>
  <dcterms:modified xsi:type="dcterms:W3CDTF">2026-01-28T00:14:20Z</dcterms:modified>
</cp:coreProperties>
</file>